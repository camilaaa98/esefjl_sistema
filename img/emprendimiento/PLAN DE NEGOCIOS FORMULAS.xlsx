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wamp64\www\YUDI_CONSTANZA\farmacia\esefjl\img\emprendimiento\"/>
    </mc:Choice>
  </mc:AlternateContent>
  <xr:revisionPtr revIDLastSave="0" documentId="13_ncr:1_{272FBDE4-87F3-46B0-A2D1-248E0C3C9AA1}" xr6:coauthVersionLast="47" xr6:coauthVersionMax="47" xr10:uidLastSave="{00000000-0000-0000-0000-000000000000}"/>
  <bookViews>
    <workbookView xWindow="-108" yWindow="-108" windowWidth="23256" windowHeight="13896" firstSheet="4" activeTab="4" xr2:uid="{00000000-000D-0000-FFFF-FFFF00000000}"/>
  </bookViews>
  <sheets>
    <sheet name="PROYECCION DE VENTAS A 5 AÑOS" sheetId="1" r:id="rId1"/>
    <sheet name="COSTOS DE FABRICACION MENSUAL " sheetId="2" r:id="rId2"/>
    <sheet name="PLANTA DE PERSONAL" sheetId="3" r:id="rId3"/>
    <sheet name="INVERSION TOTAL" sheetId="4" r:id="rId4"/>
    <sheet name="FLUJO DE EGRESOS " sheetId="5" r:id="rId5"/>
    <sheet name="FLUJO DE INGRESOS" sheetId="6" r:id="rId6"/>
    <sheet name="ESTADO DE RESULTADOS" sheetId="7" r:id="rId7"/>
    <sheet name="FLUJO DE EGRESO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8" l="1"/>
  <c r="D6" i="8"/>
  <c r="C6" i="8"/>
  <c r="B6" i="8"/>
  <c r="F8" i="5"/>
  <c r="F26" i="5" s="1"/>
  <c r="E8" i="5"/>
  <c r="E26" i="5" s="1"/>
  <c r="D8" i="5"/>
  <c r="D26" i="5" s="1"/>
  <c r="C8" i="5"/>
  <c r="C26" i="5" s="1"/>
  <c r="B8" i="5"/>
  <c r="B26" i="5" s="1"/>
  <c r="F20" i="4"/>
  <c r="E20" i="4"/>
  <c r="D20" i="4"/>
  <c r="C20" i="4"/>
  <c r="C21" i="4" s="1"/>
  <c r="B20" i="4"/>
  <c r="F17" i="4"/>
  <c r="E17" i="4"/>
  <c r="D17" i="4"/>
  <c r="D21" i="4" s="1"/>
  <c r="C17" i="4"/>
  <c r="B17" i="4"/>
  <c r="F13" i="4"/>
  <c r="F21" i="4" s="1"/>
  <c r="E13" i="4"/>
  <c r="E21" i="4" s="1"/>
  <c r="D13" i="4"/>
  <c r="C13" i="4"/>
  <c r="B13" i="4"/>
  <c r="B21" i="4" s="1"/>
  <c r="B15" i="2"/>
  <c r="B14" i="2"/>
  <c r="B7" i="2"/>
  <c r="F20" i="1"/>
  <c r="B20" i="1"/>
  <c r="F19" i="1"/>
  <c r="E19" i="1"/>
  <c r="E20" i="1" s="1"/>
  <c r="D19" i="1"/>
  <c r="D20" i="1" s="1"/>
  <c r="C19" i="1"/>
  <c r="C20" i="1" s="1"/>
  <c r="B19" i="1"/>
  <c r="D16" i="1"/>
  <c r="B16" i="1"/>
  <c r="B21" i="1" s="1"/>
  <c r="F15" i="1"/>
  <c r="F16" i="1" s="1"/>
  <c r="F21" i="1" s="1"/>
  <c r="E15" i="1"/>
  <c r="E16" i="1" s="1"/>
  <c r="D15" i="1"/>
  <c r="C15" i="1"/>
  <c r="C16" i="1" s="1"/>
  <c r="C21" i="1" s="1"/>
  <c r="B15" i="1"/>
  <c r="F7" i="1"/>
  <c r="E7" i="1"/>
  <c r="D7" i="1"/>
  <c r="C7" i="1"/>
  <c r="B7" i="1"/>
  <c r="D21" i="1" l="1"/>
  <c r="E21" i="1"/>
</calcChain>
</file>

<file path=xl/sharedStrings.xml><?xml version="1.0" encoding="utf-8"?>
<sst xmlns="http://schemas.openxmlformats.org/spreadsheetml/2006/main" count="109" uniqueCount="93">
  <si>
    <t>INGRESOS</t>
  </si>
  <si>
    <t>Frutas Amazonicas (Copoazu, Araza, Sacha Inchi)</t>
  </si>
  <si>
    <t xml:space="preserve">Unidades </t>
  </si>
  <si>
    <t xml:space="preserve">Precio  </t>
  </si>
  <si>
    <t>Total</t>
  </si>
  <si>
    <t>Hortalizas de Segunda Transformacion (Picado/Empaque)</t>
  </si>
  <si>
    <t>Precio</t>
  </si>
  <si>
    <t>TOTAL INGRESOS</t>
  </si>
  <si>
    <t>FUENTE DE TRACCIÓN</t>
  </si>
  <si>
    <t>AÑO 1</t>
  </si>
  <si>
    <t>AÑO 2</t>
  </si>
  <si>
    <t>AÑO 3</t>
  </si>
  <si>
    <t>AÑO 4</t>
  </si>
  <si>
    <t>AÑO 5</t>
  </si>
  <si>
    <t xml:space="preserve">Proyeccion de Precios por producto </t>
  </si>
  <si>
    <t xml:space="preserve">PRECIO </t>
  </si>
  <si>
    <t>Producto 1</t>
  </si>
  <si>
    <t>Producto 2</t>
  </si>
  <si>
    <t xml:space="preserve">Total Precio de Ventas </t>
  </si>
  <si>
    <t xml:space="preserve">Proyeccción de Ventas a 5 años </t>
  </si>
  <si>
    <t>TOTAL VENTAS</t>
  </si>
  <si>
    <t>COSTOS DE FABRICACION MENSUALES</t>
  </si>
  <si>
    <t xml:space="preserve">INDIRECTOS O FIJOS </t>
  </si>
  <si>
    <t xml:space="preserve">Nomina </t>
  </si>
  <si>
    <t xml:space="preserve">Distribución </t>
  </si>
  <si>
    <t xml:space="preserve">TOTAL COSTOS FIJOS </t>
  </si>
  <si>
    <t>DIRECTOS O VARIABLES</t>
  </si>
  <si>
    <t xml:space="preserve">Materia Prima </t>
  </si>
  <si>
    <t>Mano de Obra Indirecta</t>
  </si>
  <si>
    <t xml:space="preserve">Publicidad </t>
  </si>
  <si>
    <t xml:space="preserve">Servicios </t>
  </si>
  <si>
    <t>Etiquetas</t>
  </si>
  <si>
    <t>TOTAL COSTOS VARIABLES</t>
  </si>
  <si>
    <t xml:space="preserve">TOTAL COSTOS </t>
  </si>
  <si>
    <t>ÁREA</t>
  </si>
  <si>
    <t>Administrativa</t>
  </si>
  <si>
    <t>Mercadeo y ventas</t>
  </si>
  <si>
    <t>Producción</t>
  </si>
  <si>
    <t>Áreas transversales</t>
  </si>
  <si>
    <t>Inversin en Bodega Florencia</t>
  </si>
  <si>
    <t>Equipos de Fro y Empaque</t>
  </si>
  <si>
    <t>Camiones de Carga (2 Unidades)</t>
  </si>
  <si>
    <t>Software Rural FLOR-Net</t>
  </si>
  <si>
    <t>Caja Menor / Fondo de Emergencia</t>
  </si>
  <si>
    <t>Equipos de computo</t>
  </si>
  <si>
    <t>Redes</t>
  </si>
  <si>
    <t>Vehículos</t>
  </si>
  <si>
    <t>Maquinaria</t>
  </si>
  <si>
    <t>Muebles y Enseres</t>
  </si>
  <si>
    <t>Software</t>
  </si>
  <si>
    <t>Subtotal Activos fijos</t>
  </si>
  <si>
    <t>ACTIVOS DIFERIDOS</t>
  </si>
  <si>
    <t>Contratos de Servicio</t>
  </si>
  <si>
    <t>Constitución Legal</t>
  </si>
  <si>
    <t>Subtotal Activos diferidos</t>
  </si>
  <si>
    <t>CAPITAL INTELECTUAL</t>
  </si>
  <si>
    <t xml:space="preserve">Normas ISO </t>
  </si>
  <si>
    <t>Subtotal Capital Intelectual</t>
  </si>
  <si>
    <t>INVERSIÓN TOTAL</t>
  </si>
  <si>
    <t>EGRESOS</t>
  </si>
  <si>
    <t>Nmina Campesina y Tcnica</t>
  </si>
  <si>
    <t>Combustible y Fletes</t>
  </si>
  <si>
    <t>Energa y Mantenimiento</t>
  </si>
  <si>
    <t>Seguros y Otros</t>
  </si>
  <si>
    <t>Total Costos de Producción</t>
  </si>
  <si>
    <t>COSTOS COMERCIALIZACIÓN Y VENTAS</t>
  </si>
  <si>
    <t>Publicidad</t>
  </si>
  <si>
    <t>Vendedores</t>
  </si>
  <si>
    <t>Empaque</t>
  </si>
  <si>
    <t>Distribución</t>
  </si>
  <si>
    <t>TOTAL EGRESOS</t>
  </si>
  <si>
    <t>ESTADO DE RESULTADOS</t>
  </si>
  <si>
    <t xml:space="preserve">TOTAL VENTAS O INGRESOS </t>
  </si>
  <si>
    <t>Costos de producción</t>
  </si>
  <si>
    <t>Costos comercialización y ventas</t>
  </si>
  <si>
    <t>COSTOS DIRECTOS</t>
  </si>
  <si>
    <t>MARGEN BRUTO DE VENTAS</t>
  </si>
  <si>
    <t>COSTOS INDIRECTOS</t>
  </si>
  <si>
    <t>Costos de administración</t>
  </si>
  <si>
    <t>UTIL. OPERACIÓN (UAII)</t>
  </si>
  <si>
    <t>IMPUESTOS</t>
  </si>
  <si>
    <t>UTILIDAD NETA</t>
  </si>
  <si>
    <t>ESTADO DE RESULTADOS PROYECTADO</t>
  </si>
  <si>
    <t>CONCEPTO</t>
  </si>
  <si>
    <t>MES 1</t>
  </si>
  <si>
    <t>MES 6</t>
  </si>
  <si>
    <t>MES 12</t>
  </si>
  <si>
    <t>TOTAL AÑO 1</t>
  </si>
  <si>
    <t>Nómina Personal Clínico/Campesino</t>
  </si>
  <si>
    <t>Logística y Combustible</t>
  </si>
  <si>
    <t>Mantenimiento y Energía</t>
  </si>
  <si>
    <t>Marketing y Social Reach</t>
  </si>
  <si>
    <t>TOTAL EGRESOS MENSUAL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</si>
</sst>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14" x14ac:knownFonts="1">
    <font>
      <sz val="11"/>
      <color theme="1"/>
      <name val="Calibri"/>
      <family val="2"/>
      <scheme val="minor"/>
    </font>
    <font>
      <b/>
      <sz val="12"/>
      <color rgb="FFFFFFFF"/>
      <name val="Arial Narrow"/>
      <family val="2"/>
    </font>
    <font>
      <b/>
      <sz val="12"/>
      <color rgb="FF000000"/>
      <name val="Arial Narrow"/>
      <family val="2"/>
    </font>
    <font>
      <sz val="12"/>
      <color rgb="FF000000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 Narrow"/>
      <family val="2"/>
    </font>
    <font>
      <i/>
      <sz val="12"/>
      <color rgb="FF000000"/>
      <name val="Arial Narrow"/>
      <family val="2"/>
    </font>
    <font>
      <b/>
      <i/>
      <sz val="12"/>
      <color rgb="FF000000"/>
      <name val="Arial Narrow"/>
      <family val="2"/>
    </font>
    <font>
      <b/>
      <i/>
      <sz val="12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66669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2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3" fontId="0" fillId="0" borderId="0" xfId="0" applyNumberFormat="1"/>
    <xf numFmtId="3" fontId="3" fillId="0" borderId="4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justify" vertical="center" wrapText="1"/>
    </xf>
    <xf numFmtId="3" fontId="4" fillId="0" borderId="4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justify" vertical="center" wrapText="1"/>
    </xf>
    <xf numFmtId="0" fontId="6" fillId="4" borderId="3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5" borderId="3" xfId="0" applyFont="1" applyFill="1" applyBorder="1" applyAlignment="1">
      <alignment vertical="center"/>
    </xf>
    <xf numFmtId="3" fontId="7" fillId="5" borderId="4" xfId="0" applyNumberFormat="1" applyFont="1" applyFill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justify" vertical="center" wrapText="1"/>
    </xf>
    <xf numFmtId="0" fontId="4" fillId="0" borderId="4" xfId="0" applyFont="1" applyBorder="1" applyAlignment="1">
      <alignment horizontal="center" vertical="center" wrapText="1"/>
    </xf>
    <xf numFmtId="0" fontId="3" fillId="3" borderId="4" xfId="0" applyFont="1" applyFill="1" applyBorder="1" applyAlignment="1">
      <alignment vertical="center" wrapText="1"/>
    </xf>
    <xf numFmtId="3" fontId="8" fillId="0" borderId="4" xfId="0" applyNumberFormat="1" applyFont="1" applyBorder="1" applyAlignment="1">
      <alignment horizontal="right" vertical="center" wrapText="1"/>
    </xf>
    <xf numFmtId="0" fontId="9" fillId="0" borderId="3" xfId="0" applyFont="1" applyBorder="1" applyAlignment="1">
      <alignment vertical="center" wrapText="1"/>
    </xf>
    <xf numFmtId="3" fontId="10" fillId="0" borderId="4" xfId="0" applyNumberFormat="1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10" fillId="6" borderId="3" xfId="0" applyFont="1" applyFill="1" applyBorder="1" applyAlignment="1">
      <alignment vertical="center" wrapText="1"/>
    </xf>
    <xf numFmtId="3" fontId="10" fillId="6" borderId="4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10" fillId="7" borderId="3" xfId="0" applyFont="1" applyFill="1" applyBorder="1" applyAlignment="1">
      <alignment vertical="center" wrapText="1"/>
    </xf>
    <xf numFmtId="3" fontId="10" fillId="7" borderId="4" xfId="0" applyNumberFormat="1" applyFont="1" applyFill="1" applyBorder="1" applyAlignment="1">
      <alignment horizontal="right" vertical="center" wrapText="1"/>
    </xf>
    <xf numFmtId="0" fontId="2" fillId="0" borderId="4" xfId="0" applyFont="1" applyBorder="1" applyAlignment="1">
      <alignment vertical="center" wrapText="1"/>
    </xf>
    <xf numFmtId="3" fontId="11" fillId="6" borderId="4" xfId="0" applyNumberFormat="1" applyFont="1" applyFill="1" applyBorder="1" applyAlignment="1">
      <alignment horizontal="right" vertical="center" wrapText="1"/>
    </xf>
    <xf numFmtId="3" fontId="2" fillId="3" borderId="4" xfId="0" applyNumberFormat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6" borderId="3" xfId="0" applyFont="1" applyFill="1" applyBorder="1" applyAlignment="1">
      <alignment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justify" vertical="center" wrapText="1"/>
    </xf>
    <xf numFmtId="164" fontId="3" fillId="0" borderId="4" xfId="1" applyNumberFormat="1" applyFont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7" xfId="0" applyBorder="1"/>
    <xf numFmtId="164" fontId="12" fillId="0" borderId="7" xfId="1" applyNumberFormat="1" applyBorder="1" applyAlignment="1">
      <alignment horizontal="center" vertical="center"/>
    </xf>
    <xf numFmtId="0" fontId="13" fillId="8" borderId="7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0" fillId="0" borderId="5" xfId="0" applyBorder="1"/>
  </cellXfs>
  <cellStyles count="2">
    <cellStyle name="Moneda" xfId="1" builtinId="4"/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21"/>
  <sheetViews>
    <sheetView workbookViewId="0">
      <selection activeCell="A7" sqref="A7"/>
    </sheetView>
  </sheetViews>
  <sheetFormatPr baseColWidth="10" defaultRowHeight="14.4" x14ac:dyDescent="0.3"/>
  <cols>
    <col min="1" max="1" width="29.109375" bestFit="1" customWidth="1"/>
  </cols>
  <sheetData>
    <row r="2" spans="1:6" x14ac:dyDescent="0.3">
      <c r="A2" t="s">
        <v>14</v>
      </c>
    </row>
    <row r="3" spans="1:6" ht="15.75" customHeight="1" thickBot="1" x14ac:dyDescent="0.35"/>
    <row r="4" spans="1:6" ht="16.5" customHeight="1" thickBot="1" x14ac:dyDescent="0.35">
      <c r="A4" s="10" t="s">
        <v>15</v>
      </c>
      <c r="B4" s="2">
        <v>2025</v>
      </c>
      <c r="C4" s="2">
        <v>2026</v>
      </c>
      <c r="D4" s="2">
        <v>2027</v>
      </c>
      <c r="E4" s="2">
        <v>2028</v>
      </c>
      <c r="F4" s="2">
        <v>2029</v>
      </c>
    </row>
    <row r="5" spans="1:6" ht="16.5" customHeight="1" thickBot="1" x14ac:dyDescent="0.35">
      <c r="A5" s="11" t="s">
        <v>16</v>
      </c>
      <c r="B5" s="12"/>
      <c r="C5" s="12"/>
      <c r="D5" s="12"/>
      <c r="E5" s="12"/>
      <c r="F5" s="12"/>
    </row>
    <row r="6" spans="1:6" ht="16.5" customHeight="1" thickBot="1" x14ac:dyDescent="0.35">
      <c r="A6" s="11" t="s">
        <v>17</v>
      </c>
      <c r="B6" s="12"/>
      <c r="C6" s="12"/>
      <c r="D6" s="12"/>
      <c r="E6" s="12"/>
      <c r="F6" s="12"/>
    </row>
    <row r="7" spans="1:6" ht="16.5" customHeight="1" thickBot="1" x14ac:dyDescent="0.35">
      <c r="A7" s="13" t="s">
        <v>18</v>
      </c>
      <c r="B7" s="12">
        <f>SUM(B5:B6)</f>
        <v>0</v>
      </c>
      <c r="C7" s="12">
        <f>SUM(C5:C6)</f>
        <v>0</v>
      </c>
      <c r="D7" s="12">
        <f>SUM(D5:D6)</f>
        <v>0</v>
      </c>
      <c r="E7" s="12">
        <f>SUM(E5:E6)</f>
        <v>0</v>
      </c>
      <c r="F7" s="12">
        <f>SUM(F5:F6)</f>
        <v>0</v>
      </c>
    </row>
    <row r="10" spans="1:6" x14ac:dyDescent="0.3">
      <c r="A10" t="s">
        <v>19</v>
      </c>
    </row>
    <row r="11" spans="1:6" ht="15.75" customHeight="1" thickBot="1" x14ac:dyDescent="0.35"/>
    <row r="12" spans="1:6" ht="16.5" customHeight="1" thickBot="1" x14ac:dyDescent="0.35">
      <c r="A12" s="1" t="s">
        <v>20</v>
      </c>
      <c r="B12" s="2">
        <v>2025</v>
      </c>
      <c r="C12" s="2">
        <v>2026</v>
      </c>
      <c r="D12" s="2">
        <v>2027</v>
      </c>
      <c r="E12" s="2">
        <v>2028</v>
      </c>
      <c r="F12" s="2">
        <v>2029</v>
      </c>
    </row>
    <row r="13" spans="1:6" ht="16.5" customHeight="1" thickBot="1" x14ac:dyDescent="0.35">
      <c r="A13" s="3" t="s">
        <v>16</v>
      </c>
      <c r="B13" s="4"/>
      <c r="C13" s="4"/>
      <c r="D13" s="4"/>
      <c r="E13" s="4"/>
      <c r="F13" s="4"/>
    </row>
    <row r="14" spans="1:6" ht="16.5" customHeight="1" thickBot="1" x14ac:dyDescent="0.35">
      <c r="A14" s="5" t="s">
        <v>2</v>
      </c>
      <c r="B14" s="7"/>
      <c r="C14" s="7"/>
      <c r="D14" s="7"/>
      <c r="E14" s="7"/>
      <c r="F14" s="7"/>
    </row>
    <row r="15" spans="1:6" ht="16.5" customHeight="1" thickBot="1" x14ac:dyDescent="0.35">
      <c r="A15" s="5" t="s">
        <v>3</v>
      </c>
      <c r="B15" s="7">
        <f>+B5</f>
        <v>0</v>
      </c>
      <c r="C15" s="7">
        <f>+C5</f>
        <v>0</v>
      </c>
      <c r="D15" s="7">
        <f>+D5</f>
        <v>0</v>
      </c>
      <c r="E15" s="7">
        <f>+E5</f>
        <v>0</v>
      </c>
      <c r="F15" s="7">
        <f>+F5</f>
        <v>0</v>
      </c>
    </row>
    <row r="16" spans="1:6" ht="16.5" customHeight="1" thickBot="1" x14ac:dyDescent="0.35">
      <c r="A16" s="5" t="s">
        <v>4</v>
      </c>
      <c r="B16" s="8">
        <f>+B14*B15</f>
        <v>0</v>
      </c>
      <c r="C16" s="8">
        <f>+C14*C15</f>
        <v>0</v>
      </c>
      <c r="D16" s="8">
        <f>+D14*D15</f>
        <v>0</v>
      </c>
      <c r="E16" s="8">
        <f>+E14*E15</f>
        <v>0</v>
      </c>
      <c r="F16" s="8">
        <f>+F14*F15</f>
        <v>0</v>
      </c>
    </row>
    <row r="17" spans="1:6" ht="16.5" customHeight="1" thickBot="1" x14ac:dyDescent="0.35">
      <c r="A17" s="3" t="s">
        <v>17</v>
      </c>
      <c r="B17" s="4"/>
      <c r="C17" s="4"/>
      <c r="D17" s="4"/>
      <c r="E17" s="4"/>
      <c r="F17" s="4"/>
    </row>
    <row r="18" spans="1:6" ht="16.5" customHeight="1" thickBot="1" x14ac:dyDescent="0.35">
      <c r="A18" s="5" t="s">
        <v>2</v>
      </c>
      <c r="B18" s="7"/>
      <c r="C18" s="7"/>
      <c r="D18" s="7"/>
      <c r="E18" s="7"/>
      <c r="F18" s="7"/>
    </row>
    <row r="19" spans="1:6" ht="16.5" customHeight="1" thickBot="1" x14ac:dyDescent="0.35">
      <c r="A19" s="5" t="s">
        <v>6</v>
      </c>
      <c r="B19" s="7">
        <f>+B6</f>
        <v>0</v>
      </c>
      <c r="C19" s="7">
        <f>+C6</f>
        <v>0</v>
      </c>
      <c r="D19" s="7">
        <f>+D6</f>
        <v>0</v>
      </c>
      <c r="E19" s="7">
        <f>+E6</f>
        <v>0</v>
      </c>
      <c r="F19" s="7">
        <f>+F6</f>
        <v>0</v>
      </c>
    </row>
    <row r="20" spans="1:6" ht="16.5" customHeight="1" thickBot="1" x14ac:dyDescent="0.35">
      <c r="A20" s="9" t="s">
        <v>4</v>
      </c>
      <c r="B20" s="8">
        <f>+B18*B19</f>
        <v>0</v>
      </c>
      <c r="C20" s="8">
        <f>+C18*C19</f>
        <v>0</v>
      </c>
      <c r="D20" s="8">
        <f>+D18*D19</f>
        <v>0</v>
      </c>
      <c r="E20" s="8">
        <f>+E18*E19</f>
        <v>0</v>
      </c>
      <c r="F20" s="8">
        <f>+F18*F19</f>
        <v>0</v>
      </c>
    </row>
    <row r="21" spans="1:6" ht="16.5" customHeight="1" thickBot="1" x14ac:dyDescent="0.35">
      <c r="A21" s="9" t="s">
        <v>20</v>
      </c>
      <c r="B21" s="8">
        <f>+B16+B20</f>
        <v>0</v>
      </c>
      <c r="C21" s="8">
        <f>+C16+C20</f>
        <v>0</v>
      </c>
      <c r="D21" s="8">
        <f>+D16+D20</f>
        <v>0</v>
      </c>
      <c r="E21" s="8">
        <f>+E16+E20</f>
        <v>0</v>
      </c>
      <c r="F21" s="8">
        <f>+F16+F20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15"/>
  <sheetViews>
    <sheetView workbookViewId="0">
      <selection activeCell="E19" sqref="E19"/>
    </sheetView>
  </sheetViews>
  <sheetFormatPr baseColWidth="10" defaultRowHeight="14.4" x14ac:dyDescent="0.3"/>
  <cols>
    <col min="1" max="1" width="33.5546875" bestFit="1" customWidth="1"/>
    <col min="2" max="2" width="18.44140625" customWidth="1"/>
  </cols>
  <sheetData>
    <row r="2" spans="1:2" ht="15.75" customHeight="1" thickBot="1" x14ac:dyDescent="0.35"/>
    <row r="3" spans="1:2" ht="16.5" customHeight="1" thickBot="1" x14ac:dyDescent="0.35">
      <c r="A3" s="47" t="s">
        <v>21</v>
      </c>
      <c r="B3" s="48"/>
    </row>
    <row r="4" spans="1:2" ht="16.5" customHeight="1" thickBot="1" x14ac:dyDescent="0.35">
      <c r="A4" s="14" t="s">
        <v>22</v>
      </c>
      <c r="B4" s="15"/>
    </row>
    <row r="5" spans="1:2" ht="15.75" customHeight="1" thickBot="1" x14ac:dyDescent="0.35">
      <c r="A5" s="16" t="s">
        <v>23</v>
      </c>
      <c r="B5" s="17"/>
    </row>
    <row r="6" spans="1:2" ht="15.75" customHeight="1" thickBot="1" x14ac:dyDescent="0.35">
      <c r="A6" s="16" t="s">
        <v>24</v>
      </c>
      <c r="B6" s="17"/>
    </row>
    <row r="7" spans="1:2" ht="16.5" customHeight="1" thickBot="1" x14ac:dyDescent="0.35">
      <c r="A7" s="14" t="s">
        <v>25</v>
      </c>
      <c r="B7" s="18">
        <f>SUM(B5:B6)</f>
        <v>0</v>
      </c>
    </row>
    <row r="8" spans="1:2" ht="16.5" customHeight="1" thickBot="1" x14ac:dyDescent="0.35">
      <c r="A8" s="14" t="s">
        <v>26</v>
      </c>
      <c r="B8" s="15"/>
    </row>
    <row r="9" spans="1:2" ht="15.75" customHeight="1" thickBot="1" x14ac:dyDescent="0.35">
      <c r="A9" s="16" t="s">
        <v>27</v>
      </c>
      <c r="B9" s="17"/>
    </row>
    <row r="10" spans="1:2" ht="15.75" customHeight="1" thickBot="1" x14ac:dyDescent="0.35">
      <c r="A10" s="16" t="s">
        <v>28</v>
      </c>
      <c r="B10" s="17"/>
    </row>
    <row r="11" spans="1:2" ht="15.75" customHeight="1" thickBot="1" x14ac:dyDescent="0.35">
      <c r="A11" s="16" t="s">
        <v>29</v>
      </c>
      <c r="B11" s="17"/>
    </row>
    <row r="12" spans="1:2" ht="15.75" customHeight="1" thickBot="1" x14ac:dyDescent="0.35">
      <c r="A12" s="16" t="s">
        <v>30</v>
      </c>
      <c r="B12" s="17"/>
    </row>
    <row r="13" spans="1:2" ht="15.75" customHeight="1" thickBot="1" x14ac:dyDescent="0.35">
      <c r="A13" s="16" t="s">
        <v>31</v>
      </c>
      <c r="B13" s="17"/>
    </row>
    <row r="14" spans="1:2" ht="16.5" customHeight="1" thickBot="1" x14ac:dyDescent="0.35">
      <c r="A14" s="14" t="s">
        <v>32</v>
      </c>
      <c r="B14" s="18">
        <f>SUM(B9:B13)</f>
        <v>0</v>
      </c>
    </row>
    <row r="15" spans="1:2" ht="16.5" customHeight="1" thickBot="1" x14ac:dyDescent="0.35">
      <c r="A15" s="14" t="s">
        <v>33</v>
      </c>
      <c r="B15" s="18">
        <f>+B7+B14</f>
        <v>0</v>
      </c>
    </row>
  </sheetData>
  <mergeCells count="1"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7"/>
  <sheetViews>
    <sheetView workbookViewId="0">
      <selection activeCell="E14" sqref="E14"/>
    </sheetView>
  </sheetViews>
  <sheetFormatPr baseColWidth="10" defaultRowHeight="14.4" x14ac:dyDescent="0.3"/>
  <cols>
    <col min="1" max="1" width="19.6640625" customWidth="1"/>
  </cols>
  <sheetData>
    <row r="2" spans="1:6" ht="15.75" customHeight="1" thickBot="1" x14ac:dyDescent="0.35"/>
    <row r="3" spans="1:6" ht="16.5" customHeight="1" thickBot="1" x14ac:dyDescent="0.35">
      <c r="A3" s="19" t="s">
        <v>34</v>
      </c>
      <c r="B3" s="2">
        <v>2025</v>
      </c>
      <c r="C3" s="2">
        <v>2026</v>
      </c>
      <c r="D3" s="2">
        <v>2027</v>
      </c>
      <c r="E3" s="2">
        <v>2028</v>
      </c>
      <c r="F3" s="2">
        <v>2029</v>
      </c>
    </row>
    <row r="4" spans="1:6" ht="16.5" customHeight="1" thickBot="1" x14ac:dyDescent="0.35">
      <c r="A4" s="11" t="s">
        <v>35</v>
      </c>
      <c r="B4" s="20"/>
      <c r="C4" s="20"/>
      <c r="D4" s="20"/>
      <c r="E4" s="20"/>
      <c r="F4" s="20"/>
    </row>
    <row r="5" spans="1:6" ht="16.5" customHeight="1" thickBot="1" x14ac:dyDescent="0.35">
      <c r="A5" s="11" t="s">
        <v>36</v>
      </c>
      <c r="B5" s="20"/>
      <c r="C5" s="20"/>
      <c r="D5" s="20"/>
      <c r="E5" s="20"/>
      <c r="F5" s="20"/>
    </row>
    <row r="6" spans="1:6" ht="16.5" customHeight="1" thickBot="1" x14ac:dyDescent="0.35">
      <c r="A6" s="11" t="s">
        <v>37</v>
      </c>
      <c r="B6" s="20"/>
      <c r="C6" s="20"/>
      <c r="D6" s="20"/>
      <c r="E6" s="20"/>
      <c r="F6" s="20"/>
    </row>
    <row r="7" spans="1:6" ht="16.5" customHeight="1" thickBot="1" x14ac:dyDescent="0.35">
      <c r="A7" s="11" t="s">
        <v>38</v>
      </c>
      <c r="B7" s="20"/>
      <c r="C7" s="20"/>
      <c r="D7" s="20"/>
      <c r="E7" s="20"/>
      <c r="F7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21"/>
  <sheetViews>
    <sheetView zoomScale="80" zoomScaleNormal="80" workbookViewId="0">
      <selection activeCell="A3" sqref="A3:F21"/>
    </sheetView>
  </sheetViews>
  <sheetFormatPr baseColWidth="10" defaultRowHeight="14.4" x14ac:dyDescent="0.3"/>
  <cols>
    <col min="1" max="1" width="27.109375" customWidth="1"/>
    <col min="2" max="2" width="13.5546875" customWidth="1"/>
    <col min="3" max="3" width="13.88671875" customWidth="1"/>
    <col min="4" max="4" width="13.6640625" customWidth="1"/>
    <col min="5" max="5" width="13" customWidth="1"/>
    <col min="6" max="6" width="12.6640625" customWidth="1"/>
  </cols>
  <sheetData>
    <row r="2" spans="1:11" ht="15.75" customHeight="1" thickBot="1" x14ac:dyDescent="0.35">
      <c r="A2" t="s">
        <v>39</v>
      </c>
      <c r="B2">
        <v>120000000</v>
      </c>
    </row>
    <row r="3" spans="1:11" ht="16.5" customHeight="1" thickBot="1" x14ac:dyDescent="0.35">
      <c r="A3" s="1" t="s">
        <v>40</v>
      </c>
      <c r="B3" s="2">
        <v>150000000</v>
      </c>
      <c r="C3" s="2">
        <v>2026</v>
      </c>
      <c r="D3" s="2">
        <v>2027</v>
      </c>
      <c r="E3" s="2">
        <v>2028</v>
      </c>
      <c r="F3" s="2">
        <v>2029</v>
      </c>
    </row>
    <row r="4" spans="1:11" ht="32.25" customHeight="1" thickBot="1" x14ac:dyDescent="0.35">
      <c r="A4" s="3" t="s">
        <v>41</v>
      </c>
      <c r="B4" s="21">
        <v>130000000</v>
      </c>
      <c r="C4" s="21">
        <v>10000000</v>
      </c>
      <c r="D4" s="21">
        <v>10000000</v>
      </c>
      <c r="E4" s="21">
        <v>10000000</v>
      </c>
      <c r="F4" s="21">
        <v>10000000</v>
      </c>
    </row>
    <row r="5" spans="1:11" ht="17.25" customHeight="1" thickBot="1" x14ac:dyDescent="0.35">
      <c r="A5" s="5" t="s">
        <v>42</v>
      </c>
      <c r="B5" s="22">
        <v>30000000</v>
      </c>
      <c r="C5" s="22">
        <v>2000000</v>
      </c>
      <c r="D5" s="22">
        <v>2000000</v>
      </c>
      <c r="E5" s="22">
        <v>2000000</v>
      </c>
      <c r="F5" s="22">
        <v>2000000</v>
      </c>
    </row>
    <row r="6" spans="1:11" ht="30.6" customHeight="1" thickBot="1" x14ac:dyDescent="0.35">
      <c r="A6" s="5" t="s">
        <v>43</v>
      </c>
      <c r="B6" s="22">
        <v>15000000</v>
      </c>
      <c r="C6" s="22">
        <v>5000000</v>
      </c>
      <c r="D6" s="22">
        <v>5000000</v>
      </c>
      <c r="E6" s="22">
        <v>5000000</v>
      </c>
      <c r="F6" s="22">
        <v>5000000</v>
      </c>
      <c r="K6" s="6"/>
    </row>
    <row r="7" spans="1:11" ht="17.25" customHeight="1" thickBot="1" x14ac:dyDescent="0.35">
      <c r="A7" s="5" t="s">
        <v>44</v>
      </c>
      <c r="B7" s="22">
        <v>12000000</v>
      </c>
      <c r="C7" s="22">
        <v>2000000</v>
      </c>
      <c r="D7" s="22">
        <v>2000000</v>
      </c>
      <c r="E7" s="22">
        <v>2000000</v>
      </c>
      <c r="F7" s="22">
        <v>2000000</v>
      </c>
    </row>
    <row r="8" spans="1:11" ht="17.25" customHeight="1" thickBot="1" x14ac:dyDescent="0.35">
      <c r="A8" s="5" t="s">
        <v>45</v>
      </c>
      <c r="B8" s="22">
        <v>4000000</v>
      </c>
      <c r="C8" s="22">
        <v>0</v>
      </c>
      <c r="D8" s="22">
        <v>0</v>
      </c>
      <c r="E8" s="22">
        <v>0</v>
      </c>
      <c r="F8" s="22">
        <v>0</v>
      </c>
    </row>
    <row r="9" spans="1:11" ht="17.25" customHeight="1" thickBot="1" x14ac:dyDescent="0.35">
      <c r="A9" s="5" t="s">
        <v>46</v>
      </c>
      <c r="B9" s="22">
        <v>18000000</v>
      </c>
      <c r="C9" s="22">
        <v>0</v>
      </c>
      <c r="D9" s="22">
        <v>0</v>
      </c>
      <c r="E9" s="22">
        <v>0</v>
      </c>
      <c r="F9" s="22">
        <v>0</v>
      </c>
    </row>
    <row r="10" spans="1:11" ht="17.25" customHeight="1" thickBot="1" x14ac:dyDescent="0.35">
      <c r="A10" s="5" t="s">
        <v>47</v>
      </c>
      <c r="B10" s="22">
        <v>45000000</v>
      </c>
      <c r="C10" s="22">
        <v>5000000</v>
      </c>
      <c r="D10" s="22">
        <v>5000000</v>
      </c>
      <c r="E10" s="22">
        <v>5000000</v>
      </c>
      <c r="F10" s="22">
        <v>5000000</v>
      </c>
    </row>
    <row r="11" spans="1:11" ht="17.25" customHeight="1" thickBot="1" x14ac:dyDescent="0.35">
      <c r="A11" s="5" t="s">
        <v>48</v>
      </c>
      <c r="B11" s="22">
        <v>12000000</v>
      </c>
      <c r="C11" s="22">
        <v>1000000</v>
      </c>
      <c r="D11" s="22">
        <v>1000000</v>
      </c>
      <c r="E11" s="22">
        <v>1000000</v>
      </c>
      <c r="F11" s="22">
        <v>1000000</v>
      </c>
    </row>
    <row r="12" spans="1:11" ht="17.25" customHeight="1" thickBot="1" x14ac:dyDescent="0.35">
      <c r="A12" s="5" t="s">
        <v>49</v>
      </c>
      <c r="B12" s="22">
        <v>8000000</v>
      </c>
      <c r="C12" s="22">
        <v>0</v>
      </c>
      <c r="D12" s="22">
        <v>0</v>
      </c>
      <c r="E12" s="22">
        <v>0</v>
      </c>
      <c r="F12" s="22">
        <v>0</v>
      </c>
    </row>
    <row r="13" spans="1:11" ht="16.5" customHeight="1" thickBot="1" x14ac:dyDescent="0.35">
      <c r="A13" s="23" t="s">
        <v>50</v>
      </c>
      <c r="B13" s="24">
        <f>SUM(B5:B12)</f>
        <v>144000000</v>
      </c>
      <c r="C13" s="24">
        <f>SUM(C5:C12)</f>
        <v>15000000</v>
      </c>
      <c r="D13" s="24">
        <f>SUM(D5:D12)</f>
        <v>15000000</v>
      </c>
      <c r="E13" s="24">
        <f>SUM(E5:E12)</f>
        <v>15000000</v>
      </c>
      <c r="F13" s="24">
        <f>SUM(F5:F12)</f>
        <v>15000000</v>
      </c>
    </row>
    <row r="14" spans="1:11" ht="32.25" customHeight="1" thickBot="1" x14ac:dyDescent="0.35">
      <c r="A14" s="3" t="s">
        <v>51</v>
      </c>
      <c r="B14" s="21"/>
      <c r="C14" s="21"/>
      <c r="D14" s="21"/>
      <c r="E14" s="21"/>
      <c r="F14" s="21"/>
    </row>
    <row r="15" spans="1:11" ht="17.25" customHeight="1" thickBot="1" x14ac:dyDescent="0.35">
      <c r="A15" s="5" t="s">
        <v>52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</row>
    <row r="16" spans="1:11" ht="17.25" customHeight="1" thickBot="1" x14ac:dyDescent="0.35">
      <c r="A16" s="5" t="s">
        <v>53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</row>
    <row r="17" spans="1:6" ht="16.5" customHeight="1" thickBot="1" x14ac:dyDescent="0.35">
      <c r="A17" s="23" t="s">
        <v>54</v>
      </c>
      <c r="B17" s="24">
        <f>SUM(B15:B16)</f>
        <v>0</v>
      </c>
      <c r="C17" s="24">
        <f>SUM(C15:C16)</f>
        <v>0</v>
      </c>
      <c r="D17" s="24">
        <f>SUM(D15:D16)</f>
        <v>0</v>
      </c>
      <c r="E17" s="24">
        <f>SUM(E15:E16)</f>
        <v>0</v>
      </c>
      <c r="F17" s="24">
        <f>SUM(F15:F16)</f>
        <v>0</v>
      </c>
    </row>
    <row r="18" spans="1:6" ht="48" customHeight="1" thickBot="1" x14ac:dyDescent="0.35">
      <c r="A18" s="3" t="s">
        <v>55</v>
      </c>
      <c r="B18" s="21"/>
      <c r="C18" s="21"/>
      <c r="D18" s="21"/>
      <c r="E18" s="21"/>
      <c r="F18" s="21"/>
    </row>
    <row r="19" spans="1:6" ht="17.25" customHeight="1" thickBot="1" x14ac:dyDescent="0.35">
      <c r="A19" s="5" t="s">
        <v>56</v>
      </c>
      <c r="B19" s="22">
        <v>0</v>
      </c>
      <c r="C19" s="22">
        <v>0</v>
      </c>
      <c r="D19" s="22">
        <v>0</v>
      </c>
      <c r="E19" s="22">
        <v>0</v>
      </c>
      <c r="F19" s="22">
        <v>0</v>
      </c>
    </row>
    <row r="20" spans="1:6" ht="16.5" customHeight="1" thickBot="1" x14ac:dyDescent="0.35">
      <c r="A20" s="23" t="s">
        <v>57</v>
      </c>
      <c r="B20" s="24">
        <f>SUM(B19)</f>
        <v>0</v>
      </c>
      <c r="C20" s="24">
        <f>SUM(C19)</f>
        <v>0</v>
      </c>
      <c r="D20" s="24">
        <f>SUM(D19)</f>
        <v>0</v>
      </c>
      <c r="E20" s="24">
        <f>SUM(E19)</f>
        <v>0</v>
      </c>
      <c r="F20" s="24">
        <f>SUM(F19)</f>
        <v>0</v>
      </c>
    </row>
    <row r="21" spans="1:6" ht="16.5" customHeight="1" thickBot="1" x14ac:dyDescent="0.35">
      <c r="A21" s="26" t="s">
        <v>58</v>
      </c>
      <c r="B21" s="27">
        <f>+B13+B17+B20</f>
        <v>144000000</v>
      </c>
      <c r="C21" s="27">
        <f>+C13+C17+C20</f>
        <v>15000000</v>
      </c>
      <c r="D21" s="27">
        <f>+D13+D17+D20</f>
        <v>15000000</v>
      </c>
      <c r="E21" s="27">
        <f>+E13+E17+E20</f>
        <v>15000000</v>
      </c>
      <c r="F21" s="27">
        <f>+F13+F17+F20</f>
        <v>15000000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F26"/>
  <sheetViews>
    <sheetView tabSelected="1" zoomScale="90" zoomScaleNormal="90" workbookViewId="0">
      <selection activeCell="C5" sqref="C5"/>
    </sheetView>
  </sheetViews>
  <sheetFormatPr baseColWidth="10" defaultRowHeight="14.4" x14ac:dyDescent="0.3"/>
  <cols>
    <col min="1" max="1" width="27.44140625" customWidth="1"/>
    <col min="2" max="2" width="14.88671875" customWidth="1"/>
    <col min="3" max="3" width="16.109375" customWidth="1"/>
    <col min="4" max="4" width="14.88671875" customWidth="1"/>
    <col min="5" max="5" width="15.21875" customWidth="1"/>
    <col min="6" max="6" width="13.77734375" customWidth="1"/>
  </cols>
  <sheetData>
    <row r="2" spans="1:6" ht="15.75" customHeight="1" thickBot="1" x14ac:dyDescent="0.35"/>
    <row r="3" spans="1:6" ht="16.5" customHeight="1" thickBot="1" x14ac:dyDescent="0.35">
      <c r="A3" s="1" t="s">
        <v>59</v>
      </c>
      <c r="B3" s="2">
        <v>2025</v>
      </c>
      <c r="C3" s="2">
        <v>2026</v>
      </c>
      <c r="D3" s="2">
        <v>2027</v>
      </c>
      <c r="E3" s="2">
        <v>2028</v>
      </c>
      <c r="F3" s="2">
        <v>2029</v>
      </c>
    </row>
    <row r="4" spans="1:6" ht="16.5" customHeight="1" thickBot="1" x14ac:dyDescent="0.35">
      <c r="A4" s="28" t="s">
        <v>60</v>
      </c>
      <c r="B4" s="21">
        <v>19800000</v>
      </c>
      <c r="C4" s="21">
        <v>20988000</v>
      </c>
      <c r="D4" s="21">
        <v>22247280</v>
      </c>
      <c r="E4" s="21">
        <v>23582116</v>
      </c>
      <c r="F4" s="21">
        <v>24997043</v>
      </c>
    </row>
    <row r="5" spans="1:6" ht="16.5" customHeight="1" thickBot="1" x14ac:dyDescent="0.35">
      <c r="A5" s="5" t="s">
        <v>61</v>
      </c>
      <c r="B5" s="25">
        <v>8000000</v>
      </c>
      <c r="C5" s="25">
        <v>8480000</v>
      </c>
      <c r="D5" s="25">
        <v>8988800</v>
      </c>
      <c r="E5" s="25">
        <v>9528128</v>
      </c>
      <c r="F5" s="25">
        <v>10099815</v>
      </c>
    </row>
    <row r="6" spans="1:6" ht="16.5" customHeight="1" thickBot="1" x14ac:dyDescent="0.35">
      <c r="A6" s="5" t="s">
        <v>62</v>
      </c>
      <c r="B6" s="25">
        <v>5000000</v>
      </c>
      <c r="C6" s="25">
        <v>5300000</v>
      </c>
      <c r="D6" s="25">
        <v>5618000</v>
      </c>
      <c r="E6" s="25">
        <v>5955080</v>
      </c>
      <c r="F6" s="25">
        <v>6312384</v>
      </c>
    </row>
    <row r="7" spans="1:6" ht="16.5" customHeight="1" thickBot="1" x14ac:dyDescent="0.35">
      <c r="A7" s="5" t="s">
        <v>63</v>
      </c>
      <c r="B7" s="25">
        <v>2000000</v>
      </c>
      <c r="C7" s="25">
        <v>2120000</v>
      </c>
      <c r="D7" s="25">
        <v>2247200</v>
      </c>
      <c r="E7" s="25">
        <v>2382032</v>
      </c>
      <c r="F7" s="25">
        <v>2524953</v>
      </c>
    </row>
    <row r="8" spans="1:6" ht="16.5" customHeight="1" thickBot="1" x14ac:dyDescent="0.35">
      <c r="A8" s="29" t="s">
        <v>64</v>
      </c>
      <c r="B8" s="24">
        <f>SUM(B5:B7)</f>
        <v>15000000</v>
      </c>
      <c r="C8" s="24">
        <f>SUM(C5:C7)</f>
        <v>15900000</v>
      </c>
      <c r="D8" s="24">
        <f>SUM(D5:D7)</f>
        <v>16854000</v>
      </c>
      <c r="E8" s="24">
        <f>SUM(E5:E7)</f>
        <v>17865240</v>
      </c>
      <c r="F8" s="24">
        <f>SUM(F5:F7)</f>
        <v>18937152</v>
      </c>
    </row>
    <row r="9" spans="1:6" ht="16.5" customHeight="1" thickBot="1" x14ac:dyDescent="0.35">
      <c r="A9" s="5"/>
      <c r="B9" s="30"/>
      <c r="C9" s="30"/>
      <c r="D9" s="30"/>
      <c r="E9" s="30"/>
      <c r="F9" s="30"/>
    </row>
    <row r="10" spans="1:6" ht="48" customHeight="1" thickBot="1" x14ac:dyDescent="0.35">
      <c r="A10" s="3" t="s">
        <v>65</v>
      </c>
      <c r="B10" s="31"/>
      <c r="C10" s="31"/>
      <c r="D10" s="31"/>
      <c r="E10" s="31"/>
      <c r="F10" s="31"/>
    </row>
    <row r="11" spans="1:6" ht="16.5" customHeight="1" thickBot="1" x14ac:dyDescent="0.35">
      <c r="A11" s="5" t="s">
        <v>66</v>
      </c>
      <c r="B11" s="25">
        <v>5500000</v>
      </c>
      <c r="C11" s="25">
        <v>5775000</v>
      </c>
      <c r="D11" s="25">
        <v>6063750</v>
      </c>
      <c r="E11" s="25">
        <v>6366937</v>
      </c>
      <c r="F11" s="25">
        <v>6685284</v>
      </c>
    </row>
    <row r="12" spans="1:6" ht="16.5" customHeight="1" thickBot="1" x14ac:dyDescent="0.35">
      <c r="A12" s="5" t="s">
        <v>67</v>
      </c>
      <c r="B12" s="25">
        <v>9000000</v>
      </c>
      <c r="C12" s="25">
        <v>9450000</v>
      </c>
      <c r="D12" s="25">
        <v>9922500</v>
      </c>
      <c r="E12" s="25">
        <v>10418625</v>
      </c>
      <c r="F12" s="25">
        <v>10939556</v>
      </c>
    </row>
    <row r="13" spans="1:6" ht="16.5" customHeight="1" thickBot="1" x14ac:dyDescent="0.35">
      <c r="A13" s="5" t="s">
        <v>68</v>
      </c>
      <c r="B13" s="25">
        <v>6000000</v>
      </c>
      <c r="C13" s="25">
        <v>6300000</v>
      </c>
      <c r="D13" s="25">
        <v>6615000</v>
      </c>
      <c r="E13" s="25">
        <v>6945750</v>
      </c>
      <c r="F13" s="25">
        <v>7293037</v>
      </c>
    </row>
    <row r="14" spans="1:6" ht="16.5" customHeight="1" thickBot="1" x14ac:dyDescent="0.35">
      <c r="A14" s="5" t="s">
        <v>69</v>
      </c>
      <c r="B14" s="25">
        <v>10000000</v>
      </c>
      <c r="C14" s="25">
        <v>10500000</v>
      </c>
      <c r="D14" s="25">
        <v>11025000</v>
      </c>
      <c r="E14" s="25">
        <v>11576250</v>
      </c>
      <c r="F14" s="25">
        <v>12155062</v>
      </c>
    </row>
    <row r="15" spans="1:6" ht="16.5" customHeight="1" thickBot="1" x14ac:dyDescent="0.35">
      <c r="A15" s="32"/>
      <c r="B15" s="33"/>
      <c r="C15" s="33"/>
      <c r="D15" s="33"/>
      <c r="E15" s="33"/>
      <c r="F15" s="33"/>
    </row>
    <row r="16" spans="1:6" ht="16.5" customHeight="1" thickBot="1" x14ac:dyDescent="0.35">
      <c r="A16" s="9"/>
      <c r="B16" s="34"/>
      <c r="C16" s="34"/>
      <c r="D16" s="34"/>
      <c r="E16" s="34"/>
      <c r="F16" s="34"/>
    </row>
    <row r="17" spans="1:6" ht="16.5" customHeight="1" thickBot="1" x14ac:dyDescent="0.35">
      <c r="A17" s="3"/>
      <c r="B17" s="21"/>
      <c r="C17" s="21"/>
      <c r="D17" s="21"/>
      <c r="E17" s="21"/>
      <c r="F17" s="21"/>
    </row>
    <row r="18" spans="1:6" ht="16.5" customHeight="1" thickBot="1" x14ac:dyDescent="0.35">
      <c r="A18" s="5"/>
      <c r="B18" s="25"/>
      <c r="C18" s="25"/>
      <c r="D18" s="25"/>
      <c r="E18" s="25"/>
      <c r="F18" s="25"/>
    </row>
    <row r="19" spans="1:6" ht="16.5" customHeight="1" thickBot="1" x14ac:dyDescent="0.35">
      <c r="A19" s="5"/>
      <c r="B19" s="25"/>
      <c r="C19" s="25"/>
      <c r="D19" s="25"/>
      <c r="E19" s="25"/>
      <c r="F19" s="25"/>
    </row>
    <row r="20" spans="1:6" ht="16.5" customHeight="1" thickBot="1" x14ac:dyDescent="0.35">
      <c r="A20" s="5"/>
      <c r="B20" s="25"/>
      <c r="C20" s="25"/>
      <c r="D20" s="25"/>
      <c r="E20" s="25"/>
      <c r="F20" s="25"/>
    </row>
    <row r="21" spans="1:6" ht="16.5" customHeight="1" thickBot="1" x14ac:dyDescent="0.35">
      <c r="A21" s="5"/>
      <c r="B21" s="25"/>
      <c r="C21" s="25"/>
      <c r="D21" s="25"/>
      <c r="E21" s="25"/>
      <c r="F21" s="25"/>
    </row>
    <row r="22" spans="1:6" ht="16.5" customHeight="1" thickBot="1" x14ac:dyDescent="0.35">
      <c r="A22" s="5"/>
      <c r="B22" s="25"/>
      <c r="C22" s="25"/>
      <c r="D22" s="25"/>
      <c r="E22" s="25"/>
      <c r="F22" s="25"/>
    </row>
    <row r="23" spans="1:6" ht="16.5" customHeight="1" thickBot="1" x14ac:dyDescent="0.35">
      <c r="A23" s="5"/>
      <c r="B23" s="25"/>
      <c r="C23" s="25"/>
      <c r="D23" s="25"/>
      <c r="E23" s="25"/>
      <c r="F23" s="25"/>
    </row>
    <row r="24" spans="1:6" ht="16.5" customHeight="1" thickBot="1" x14ac:dyDescent="0.35">
      <c r="A24" s="32"/>
      <c r="B24" s="33"/>
      <c r="C24" s="33"/>
      <c r="D24" s="33"/>
      <c r="E24" s="33"/>
      <c r="F24" s="33"/>
    </row>
    <row r="25" spans="1:6" ht="16.5" customHeight="1" thickBot="1" x14ac:dyDescent="0.35">
      <c r="A25" s="5"/>
      <c r="B25" s="30"/>
      <c r="C25" s="30"/>
      <c r="D25" s="30"/>
      <c r="E25" s="30"/>
      <c r="F25" s="30"/>
    </row>
    <row r="26" spans="1:6" ht="16.5" customHeight="1" thickBot="1" x14ac:dyDescent="0.35">
      <c r="A26" s="26" t="s">
        <v>70</v>
      </c>
      <c r="B26" s="35">
        <f>+B8+B15+B24</f>
        <v>15000000</v>
      </c>
      <c r="C26" s="35">
        <f>+C8+C15+C24</f>
        <v>15900000</v>
      </c>
      <c r="D26" s="35">
        <f>+D8+D15+D24</f>
        <v>16854000</v>
      </c>
      <c r="E26" s="35">
        <f>+E8+E15+E24</f>
        <v>17865240</v>
      </c>
      <c r="F26" s="35">
        <f>+F8+F15+F24</f>
        <v>18937152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13"/>
  <sheetViews>
    <sheetView workbookViewId="0">
      <selection activeCell="A8" sqref="A8"/>
    </sheetView>
  </sheetViews>
  <sheetFormatPr baseColWidth="10" defaultRowHeight="14.4" x14ac:dyDescent="0.3"/>
  <cols>
    <col min="1" max="1" width="32.5546875" customWidth="1"/>
    <col min="2" max="6" width="14.109375" customWidth="1"/>
  </cols>
  <sheetData>
    <row r="2" spans="1:6" ht="15.75" customHeight="1" thickBot="1" x14ac:dyDescent="0.35"/>
    <row r="3" spans="1:6" ht="16.5" customHeight="1" thickBot="1" x14ac:dyDescent="0.35">
      <c r="A3" s="1" t="s">
        <v>0</v>
      </c>
      <c r="B3" s="2">
        <v>2025</v>
      </c>
      <c r="C3" s="2">
        <v>2026</v>
      </c>
      <c r="D3" s="2">
        <v>2027</v>
      </c>
      <c r="E3" s="2">
        <v>2028</v>
      </c>
      <c r="F3" s="2">
        <v>2029</v>
      </c>
    </row>
    <row r="4" spans="1:6" ht="28.8" customHeight="1" thickBot="1" x14ac:dyDescent="0.35">
      <c r="A4" s="43" t="s">
        <v>1</v>
      </c>
      <c r="B4" s="4"/>
      <c r="C4" s="4"/>
      <c r="D4" s="4"/>
      <c r="E4" s="4"/>
      <c r="F4" s="4"/>
    </row>
    <row r="5" spans="1:6" ht="16.5" customHeight="1" thickBot="1" x14ac:dyDescent="0.35">
      <c r="A5" s="5" t="s">
        <v>2</v>
      </c>
      <c r="B5" s="41">
        <v>3000</v>
      </c>
      <c r="C5" s="41">
        <v>3300</v>
      </c>
      <c r="D5" s="41">
        <v>3630</v>
      </c>
      <c r="E5" s="41">
        <v>3993</v>
      </c>
      <c r="F5" s="41">
        <v>4392</v>
      </c>
    </row>
    <row r="6" spans="1:6" ht="16.5" customHeight="1" thickBot="1" x14ac:dyDescent="0.35">
      <c r="A6" s="5" t="s">
        <v>3</v>
      </c>
      <c r="B6" s="41">
        <v>12500</v>
      </c>
      <c r="C6" s="41">
        <v>13125</v>
      </c>
      <c r="D6" s="41">
        <v>13781</v>
      </c>
      <c r="E6" s="41">
        <v>14470</v>
      </c>
      <c r="F6" s="41">
        <v>15193</v>
      </c>
    </row>
    <row r="7" spans="1:6" ht="16.5" customHeight="1" thickBot="1" x14ac:dyDescent="0.35">
      <c r="A7" s="5" t="s">
        <v>4</v>
      </c>
      <c r="B7" s="42">
        <v>37500000</v>
      </c>
      <c r="C7" s="42">
        <v>43312500</v>
      </c>
      <c r="D7" s="42">
        <v>50025030</v>
      </c>
      <c r="E7" s="42">
        <v>57778710</v>
      </c>
      <c r="F7" s="42">
        <v>66727656</v>
      </c>
    </row>
    <row r="8" spans="1:6" ht="31.2" customHeight="1" thickBot="1" x14ac:dyDescent="0.35">
      <c r="A8" s="43" t="s">
        <v>5</v>
      </c>
      <c r="B8" s="4"/>
      <c r="C8" s="4"/>
      <c r="D8" s="4"/>
      <c r="E8" s="4"/>
      <c r="F8" s="4"/>
    </row>
    <row r="9" spans="1:6" ht="16.5" customHeight="1" thickBot="1" x14ac:dyDescent="0.35">
      <c r="A9" s="5" t="s">
        <v>2</v>
      </c>
      <c r="B9" s="41">
        <v>5000</v>
      </c>
      <c r="C9" s="41">
        <v>5500</v>
      </c>
      <c r="D9" s="41">
        <v>6050</v>
      </c>
      <c r="E9" s="41">
        <v>6655</v>
      </c>
      <c r="F9" s="41">
        <v>7320</v>
      </c>
    </row>
    <row r="10" spans="1:6" ht="16.5" customHeight="1" thickBot="1" x14ac:dyDescent="0.35">
      <c r="A10" s="5" t="s">
        <v>6</v>
      </c>
      <c r="B10" s="41">
        <v>6000</v>
      </c>
      <c r="C10" s="41">
        <v>6300</v>
      </c>
      <c r="D10" s="41">
        <v>6615</v>
      </c>
      <c r="E10" s="41">
        <v>6945</v>
      </c>
      <c r="F10" s="41">
        <v>7293</v>
      </c>
    </row>
    <row r="11" spans="1:6" ht="16.5" customHeight="1" thickBot="1" x14ac:dyDescent="0.35">
      <c r="A11" s="9" t="s">
        <v>4</v>
      </c>
      <c r="B11" s="42">
        <v>30000000</v>
      </c>
      <c r="C11" s="42">
        <v>34650000</v>
      </c>
      <c r="D11" s="42">
        <v>40020750</v>
      </c>
      <c r="E11" s="42">
        <v>46218975</v>
      </c>
      <c r="F11" s="42">
        <v>53384760</v>
      </c>
    </row>
    <row r="12" spans="1:6" ht="16.5" customHeight="1" thickBot="1" x14ac:dyDescent="0.35">
      <c r="A12" s="9" t="s">
        <v>7</v>
      </c>
      <c r="B12" s="41">
        <v>67500000</v>
      </c>
      <c r="C12" s="41">
        <v>77962500</v>
      </c>
      <c r="D12" s="41">
        <v>90045780</v>
      </c>
      <c r="E12" s="41">
        <v>103997685</v>
      </c>
      <c r="F12" s="41">
        <v>120112416</v>
      </c>
    </row>
    <row r="13" spans="1:6" x14ac:dyDescent="0.3">
      <c r="A13" t="s">
        <v>8</v>
      </c>
      <c r="B13" t="s">
        <v>9</v>
      </c>
      <c r="C13" t="s">
        <v>10</v>
      </c>
      <c r="D13" t="s">
        <v>11</v>
      </c>
      <c r="E13" t="s">
        <v>12</v>
      </c>
      <c r="F13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14"/>
  <sheetViews>
    <sheetView workbookViewId="0">
      <selection activeCell="A6" sqref="A6"/>
    </sheetView>
  </sheetViews>
  <sheetFormatPr baseColWidth="10" defaultRowHeight="14.4" x14ac:dyDescent="0.3"/>
  <cols>
    <col min="1" max="1" width="30.88671875" customWidth="1"/>
    <col min="2" max="6" width="16.44140625" customWidth="1"/>
  </cols>
  <sheetData>
    <row r="2" spans="1:6" ht="15.75" customHeight="1" thickBot="1" x14ac:dyDescent="0.35"/>
    <row r="3" spans="1:6" ht="16.5" customHeight="1" thickBot="1" x14ac:dyDescent="0.35">
      <c r="A3" s="1" t="s">
        <v>71</v>
      </c>
      <c r="B3" s="2">
        <v>2025</v>
      </c>
      <c r="C3" s="2">
        <v>2026</v>
      </c>
      <c r="D3" s="2">
        <v>2027</v>
      </c>
      <c r="E3" s="2">
        <v>2028</v>
      </c>
      <c r="F3" s="2">
        <v>2029</v>
      </c>
    </row>
    <row r="4" spans="1:6" ht="16.5" customHeight="1" thickBot="1" x14ac:dyDescent="0.35">
      <c r="A4" s="5" t="s">
        <v>72</v>
      </c>
      <c r="B4" s="7">
        <v>67500000</v>
      </c>
      <c r="C4" s="7">
        <v>77962500</v>
      </c>
      <c r="D4" s="7">
        <v>90045780</v>
      </c>
      <c r="E4" s="7">
        <v>103997685</v>
      </c>
      <c r="F4" s="7">
        <v>120112416</v>
      </c>
    </row>
    <row r="5" spans="1:6" ht="16.5" customHeight="1" thickBot="1" x14ac:dyDescent="0.35">
      <c r="A5" s="5" t="s">
        <v>73</v>
      </c>
      <c r="B5" s="7">
        <v>43875000</v>
      </c>
      <c r="C5" s="7">
        <v>50675625</v>
      </c>
      <c r="D5" s="7">
        <v>58529757</v>
      </c>
      <c r="E5" s="7">
        <v>67598495</v>
      </c>
      <c r="F5" s="7">
        <v>78073070</v>
      </c>
    </row>
    <row r="6" spans="1:6" ht="16.5" customHeight="1" thickBot="1" x14ac:dyDescent="0.35">
      <c r="A6" s="5" t="s">
        <v>74</v>
      </c>
      <c r="B6" s="7">
        <v>0</v>
      </c>
      <c r="C6" s="7">
        <v>0</v>
      </c>
      <c r="D6" s="7">
        <v>0</v>
      </c>
      <c r="E6" s="7">
        <v>0</v>
      </c>
      <c r="F6" s="7">
        <v>0</v>
      </c>
    </row>
    <row r="7" spans="1:6" ht="16.5" customHeight="1" thickBot="1" x14ac:dyDescent="0.35">
      <c r="A7" s="5" t="s">
        <v>75</v>
      </c>
      <c r="B7" s="8">
        <v>660000000</v>
      </c>
      <c r="C7" s="8">
        <v>759000000</v>
      </c>
      <c r="D7" s="8">
        <v>872849999</v>
      </c>
      <c r="E7" s="8">
        <v>1003777499</v>
      </c>
      <c r="F7" s="8">
        <v>1154344124</v>
      </c>
    </row>
    <row r="8" spans="1:6" ht="16.5" customHeight="1" thickBot="1" x14ac:dyDescent="0.35">
      <c r="A8" s="28" t="s">
        <v>76</v>
      </c>
      <c r="B8" s="36">
        <v>23625000</v>
      </c>
      <c r="C8" s="36">
        <v>27286875</v>
      </c>
      <c r="D8" s="36">
        <v>31516023</v>
      </c>
      <c r="E8" s="36">
        <v>36399190</v>
      </c>
      <c r="F8" s="36">
        <v>42039346</v>
      </c>
    </row>
    <row r="9" spans="1:6" ht="16.5" customHeight="1" thickBot="1" x14ac:dyDescent="0.35">
      <c r="A9" s="5" t="s">
        <v>77</v>
      </c>
      <c r="B9" s="37"/>
      <c r="C9" s="37"/>
      <c r="D9" s="37"/>
      <c r="E9" s="37"/>
      <c r="F9" s="37"/>
    </row>
    <row r="10" spans="1:6" ht="16.5" customHeight="1" thickBot="1" x14ac:dyDescent="0.35">
      <c r="A10" s="5" t="s">
        <v>78</v>
      </c>
      <c r="B10" s="7">
        <v>135000000</v>
      </c>
      <c r="C10" s="7">
        <v>141750000</v>
      </c>
      <c r="D10" s="7">
        <v>148837500</v>
      </c>
      <c r="E10" s="7">
        <v>156279375</v>
      </c>
      <c r="F10" s="7">
        <v>164093343</v>
      </c>
    </row>
    <row r="11" spans="1:6" ht="16.5" customHeight="1" thickBot="1" x14ac:dyDescent="0.35">
      <c r="A11" s="38" t="s">
        <v>79</v>
      </c>
      <c r="B11" s="39">
        <v>-111375000</v>
      </c>
      <c r="C11" s="39">
        <v>-114463125</v>
      </c>
      <c r="D11" s="39">
        <v>-117321477</v>
      </c>
      <c r="E11" s="39">
        <v>-119880185</v>
      </c>
      <c r="F11" s="39">
        <v>-122053997</v>
      </c>
    </row>
    <row r="12" spans="1:6" ht="16.5" customHeight="1" thickBot="1" x14ac:dyDescent="0.35">
      <c r="A12" s="5" t="s">
        <v>80</v>
      </c>
      <c r="B12" s="7">
        <v>27300000</v>
      </c>
      <c r="C12" s="7">
        <v>35595000</v>
      </c>
      <c r="D12" s="7">
        <v>45344250</v>
      </c>
      <c r="E12" s="7">
        <v>56776387</v>
      </c>
      <c r="F12" s="7">
        <v>70154870</v>
      </c>
    </row>
    <row r="13" spans="1:6" ht="16.5" customHeight="1" thickBot="1" x14ac:dyDescent="0.35">
      <c r="A13" s="40" t="s">
        <v>81</v>
      </c>
      <c r="B13" s="39">
        <v>-111375000</v>
      </c>
      <c r="C13" s="39">
        <v>-114463125</v>
      </c>
      <c r="D13" s="39">
        <v>-117321477</v>
      </c>
      <c r="E13" s="39">
        <v>-119880185</v>
      </c>
      <c r="F13" s="39">
        <v>-122053997</v>
      </c>
    </row>
    <row r="14" spans="1:6" x14ac:dyDescent="0.3">
      <c r="A14" t="s">
        <v>82</v>
      </c>
      <c r="B14" t="s">
        <v>9</v>
      </c>
      <c r="C14" t="s">
        <v>10</v>
      </c>
      <c r="D14" t="s">
        <v>11</v>
      </c>
      <c r="E14" t="s">
        <v>12</v>
      </c>
      <c r="F14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>
      <selection sqref="A1:E1"/>
    </sheetView>
  </sheetViews>
  <sheetFormatPr baseColWidth="10" defaultColWidth="8.88671875" defaultRowHeight="14.4" x14ac:dyDescent="0.3"/>
  <cols>
    <col min="1" max="1" width="39" customWidth="1"/>
    <col min="2" max="4" width="15.33203125" bestFit="1" customWidth="1"/>
    <col min="5" max="5" width="14.77734375" customWidth="1"/>
  </cols>
  <sheetData>
    <row r="1" spans="1:5" ht="15.6" thickTop="1" thickBot="1" x14ac:dyDescent="0.35">
      <c r="A1" s="46" t="s">
        <v>83</v>
      </c>
      <c r="B1" s="46" t="s">
        <v>84</v>
      </c>
      <c r="C1" s="46" t="s">
        <v>85</v>
      </c>
      <c r="D1" s="46" t="s">
        <v>86</v>
      </c>
      <c r="E1" s="46" t="s">
        <v>87</v>
      </c>
    </row>
    <row r="2" spans="1:5" ht="15.6" thickTop="1" thickBot="1" x14ac:dyDescent="0.35">
      <c r="A2" s="44" t="s">
        <v>88</v>
      </c>
      <c r="B2" s="45">
        <v>15000000</v>
      </c>
      <c r="C2" s="45">
        <v>15000000</v>
      </c>
      <c r="D2" s="45">
        <v>16000000</v>
      </c>
      <c r="E2" s="45">
        <v>182000000</v>
      </c>
    </row>
    <row r="3" spans="1:5" ht="15.6" thickTop="1" thickBot="1" x14ac:dyDescent="0.35">
      <c r="A3" s="44" t="s">
        <v>89</v>
      </c>
      <c r="B3" s="45">
        <v>8000000</v>
      </c>
      <c r="C3" s="45">
        <v>9000000</v>
      </c>
      <c r="D3" s="45">
        <v>10000000</v>
      </c>
      <c r="E3" s="45">
        <v>108000000</v>
      </c>
    </row>
    <row r="4" spans="1:5" ht="15.6" thickTop="1" thickBot="1" x14ac:dyDescent="0.35">
      <c r="A4" s="44" t="s">
        <v>90</v>
      </c>
      <c r="B4" s="45">
        <v>5000000</v>
      </c>
      <c r="C4" s="45">
        <v>5500000</v>
      </c>
      <c r="D4" s="45">
        <v>6000000</v>
      </c>
      <c r="E4" s="45">
        <v>66000000</v>
      </c>
    </row>
    <row r="5" spans="1:5" ht="15.6" thickTop="1" thickBot="1" x14ac:dyDescent="0.35">
      <c r="A5" s="44" t="s">
        <v>91</v>
      </c>
      <c r="B5" s="45">
        <v>2000000</v>
      </c>
      <c r="C5" s="45">
        <v>2000000</v>
      </c>
      <c r="D5" s="45">
        <v>2000000</v>
      </c>
      <c r="E5" s="45">
        <v>24000000</v>
      </c>
    </row>
    <row r="6" spans="1:5" ht="15.6" thickTop="1" thickBot="1" x14ac:dyDescent="0.35">
      <c r="A6" s="44" t="s">
        <v>92</v>
      </c>
      <c r="B6" s="45">
        <f>SUM(B2:B5)</f>
        <v>30000000</v>
      </c>
      <c r="C6" s="45">
        <f>SUM(C2:C5)</f>
        <v>31500000</v>
      </c>
      <c r="D6" s="45">
        <f>SUM(D2:D5)</f>
        <v>34000000</v>
      </c>
      <c r="E6" s="45">
        <f>SUM(E2:E5)</f>
        <v>380000000</v>
      </c>
    </row>
    <row r="7" spans="1:5" ht="15" thickTop="1" x14ac:dyDescent="0.3"/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PROYECCION DE VENTAS A 5 AÑOS</vt:lpstr>
      <vt:lpstr>COSTOS DE FABRICACION MENSUAL </vt:lpstr>
      <vt:lpstr>PLANTA DE PERSONAL</vt:lpstr>
      <vt:lpstr>INVERSION TOTAL</vt:lpstr>
      <vt:lpstr>FLUJO DE EGRESOS </vt:lpstr>
      <vt:lpstr>FLUJO DE INGRESOS</vt:lpstr>
      <vt:lpstr>ESTADO DE RESULTADOS</vt:lpstr>
      <vt:lpstr>FLUJO DE EGRESOS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Piedad Rivera Peña</dc:creator>
  <cp:lastModifiedBy>Maria Camila Guevara Ramirez</cp:lastModifiedBy>
  <dcterms:created xsi:type="dcterms:W3CDTF">2025-09-04T20:42:54Z</dcterms:created>
  <dcterms:modified xsi:type="dcterms:W3CDTF">2026-04-14T23:36:59Z</dcterms:modified>
</cp:coreProperties>
</file>