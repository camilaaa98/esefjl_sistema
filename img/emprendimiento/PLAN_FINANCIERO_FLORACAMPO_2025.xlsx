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ON DE VENTAS A 5 AÑOS" sheetId="1" state="visible" r:id="rId1"/>
    <sheet xmlns:r="http://schemas.openxmlformats.org/officeDocument/2006/relationships" name="COSTOS DE FABRICACION MENSUAL" sheetId="2" state="visible" r:id="rId2"/>
    <sheet xmlns:r="http://schemas.openxmlformats.org/officeDocument/2006/relationships" name="PLANTA DE PERSONAL" sheetId="3" state="visible" r:id="rId3"/>
    <sheet xmlns:r="http://schemas.openxmlformats.org/officeDocument/2006/relationships" name="INVERSION TOTAL" sheetId="4" state="visible" r:id="rId4"/>
    <sheet xmlns:r="http://schemas.openxmlformats.org/officeDocument/2006/relationships" name="FLUJO DE EGRESOS" sheetId="5" state="visible" r:id="rId5"/>
    <sheet xmlns:r="http://schemas.openxmlformats.org/officeDocument/2006/relationships" name="FLUJO DE INGRESOS" sheetId="6" state="visible" r:id="rId6"/>
    <sheet xmlns:r="http://schemas.openxmlformats.org/officeDocument/2006/relationships" name="ESTADO DE RESULT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212121"/>
      <sz val="10"/>
    </font>
    <font>
      <name val="Calibri"/>
      <color rgb="00212121"/>
      <sz val="10"/>
    </font>
    <font>
      <name val="Calibri"/>
      <b val="1"/>
      <color rgb="00E65100"/>
      <sz val="10"/>
    </font>
    <font>
      <name val="Calibri"/>
      <i val="1"/>
      <color rgb="00555555"/>
      <sz val="9"/>
    </font>
    <font>
      <name val="Calibri"/>
      <b val="1"/>
      <color rgb="001B5E20"/>
      <sz val="10"/>
    </font>
  </fonts>
  <fills count="9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F9C4"/>
      </patternFill>
    </fill>
    <fill>
      <patternFill patternType="solid">
        <fgColor rgb="00A5D6A7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PROYECCIÓN DE VENTAS A 5 AÑOS — FLORACAMPO</t>
        </is>
      </c>
    </row>
    <row r="2" ht="20" customHeight="1">
      <c r="A2" s="2" t="inlineStr">
        <is>
          <t>1. PROYECCIÓN DE PRECIOS POR PRODUCTO (COP/kg)</t>
        </is>
      </c>
    </row>
    <row r="3">
      <c r="A3" s="3" t="inlineStr">
        <is>
          <t>PRODUCTO</t>
        </is>
      </c>
      <c r="B3" s="3" t="inlineStr">
        <is>
          <t>2025</t>
        </is>
      </c>
      <c r="C3" s="3" t="inlineStr">
        <is>
          <t>2026</t>
        </is>
      </c>
      <c r="D3" s="3" t="inlineStr">
        <is>
          <t>2027</t>
        </is>
      </c>
      <c r="E3" s="3" t="inlineStr">
        <is>
          <t>2028</t>
        </is>
      </c>
      <c r="F3" s="3" t="inlineStr">
        <is>
          <t>2029</t>
        </is>
      </c>
    </row>
    <row r="4">
      <c r="A4" s="4" t="inlineStr">
        <is>
          <t>Frutas Amazónicas (Copoazú, Arazá, Sacha Inchi)</t>
        </is>
      </c>
      <c r="B4" s="5" t="n">
        <v>9500</v>
      </c>
      <c r="C4" s="5" t="n">
        <v>9975</v>
      </c>
      <c r="D4" s="5" t="n">
        <v>10473</v>
      </c>
      <c r="E4" s="5" t="n">
        <v>10997</v>
      </c>
      <c r="F4" s="5" t="n">
        <v>11547</v>
      </c>
    </row>
    <row r="5">
      <c r="A5" s="4" t="inlineStr">
        <is>
          <t>Hortalizas (Picado/Empaque Segunda Transformación)</t>
        </is>
      </c>
      <c r="B5" s="5" t="n">
        <v>4500</v>
      </c>
      <c r="C5" s="5" t="n">
        <v>4725</v>
      </c>
      <c r="D5" s="5" t="n">
        <v>4961</v>
      </c>
      <c r="E5" s="5" t="n">
        <v>5209</v>
      </c>
      <c r="F5" s="5" t="n">
        <v>5469</v>
      </c>
    </row>
    <row r="6">
      <c r="A6" s="6" t="inlineStr">
        <is>
          <t>Precio promedio ponderado (COP/kg)</t>
        </is>
      </c>
      <c r="B6" s="7" t="n">
        <v>7500</v>
      </c>
      <c r="C6" s="7" t="n">
        <v>7875</v>
      </c>
      <c r="D6" s="7" t="n">
        <v>8268</v>
      </c>
      <c r="E6" s="7" t="n">
        <v>8681</v>
      </c>
      <c r="F6" s="7" t="n">
        <v>9115</v>
      </c>
    </row>
    <row r="8" ht="20" customHeight="1">
      <c r="A8" s="2" t="inlineStr">
        <is>
          <t>2. PROYECCIÓN DE VENTAS ANUALES (UNIDADES × PRECIO = INGRESOS)</t>
        </is>
      </c>
    </row>
    <row r="9">
      <c r="A9" s="3" t="inlineStr">
        <is>
          <t>CONCEPTO</t>
        </is>
      </c>
      <c r="B9" s="3" t="inlineStr">
        <is>
          <t>2025</t>
        </is>
      </c>
      <c r="C9" s="3" t="inlineStr">
        <is>
          <t>2026</t>
        </is>
      </c>
      <c r="D9" s="3" t="inlineStr">
        <is>
          <t>2027</t>
        </is>
      </c>
      <c r="E9" s="3" t="inlineStr">
        <is>
          <t>2028</t>
        </is>
      </c>
      <c r="F9" s="3" t="inlineStr">
        <is>
          <t>2029</t>
        </is>
      </c>
    </row>
    <row r="10">
      <c r="A10" s="8" t="inlineStr">
        <is>
          <t>Frutas Amazónicas — Unidades (kg/año)</t>
        </is>
      </c>
      <c r="B10" s="9" t="n">
        <v>72000</v>
      </c>
      <c r="C10" s="9" t="n">
        <v>77760</v>
      </c>
      <c r="D10" s="9" t="n">
        <v>83980</v>
      </c>
      <c r="E10" s="9" t="n">
        <v>90699</v>
      </c>
      <c r="F10" s="9" t="n">
        <v>97955</v>
      </c>
    </row>
    <row r="11">
      <c r="A11" s="10" t="inlineStr">
        <is>
          <t>Frutas Amazónicas — Precio (COP/kg)</t>
        </is>
      </c>
      <c r="B11" s="11" t="n">
        <v>9500</v>
      </c>
      <c r="C11" s="11" t="n">
        <v>9975</v>
      </c>
      <c r="D11" s="11" t="n">
        <v>10473</v>
      </c>
      <c r="E11" s="11" t="n">
        <v>10997</v>
      </c>
      <c r="F11" s="11" t="n">
        <v>11547</v>
      </c>
    </row>
    <row r="12">
      <c r="A12" s="6" t="inlineStr">
        <is>
          <t>Frutas Amazónicas — TOTAL INGRESOS</t>
        </is>
      </c>
      <c r="B12" s="7" t="n">
        <v>684000000</v>
      </c>
      <c r="C12" s="7" t="n">
        <v>775656000</v>
      </c>
      <c r="D12" s="7" t="n">
        <v>879522540</v>
      </c>
      <c r="E12" s="7" t="n">
        <v>997416903</v>
      </c>
      <c r="F12" s="7" t="n">
        <v>1131086385</v>
      </c>
    </row>
    <row r="13">
      <c r="A13" s="10" t="inlineStr"/>
    </row>
    <row r="14">
      <c r="A14" s="8" t="inlineStr">
        <is>
          <t>Hortalizas — Unidades (kg/año)</t>
        </is>
      </c>
      <c r="B14" s="9" t="n">
        <v>48000</v>
      </c>
      <c r="C14" s="9" t="n">
        <v>51840</v>
      </c>
      <c r="D14" s="9" t="n">
        <v>55987</v>
      </c>
      <c r="E14" s="9" t="n">
        <v>60466</v>
      </c>
      <c r="F14" s="9" t="n">
        <v>65303</v>
      </c>
    </row>
    <row r="15">
      <c r="A15" s="10" t="inlineStr">
        <is>
          <t>Hortalizas — Precio (COP/kg)</t>
        </is>
      </c>
      <c r="B15" s="11" t="n">
        <v>4500</v>
      </c>
      <c r="C15" s="11" t="n">
        <v>4725</v>
      </c>
      <c r="D15" s="11" t="n">
        <v>4961</v>
      </c>
      <c r="E15" s="11" t="n">
        <v>5209</v>
      </c>
      <c r="F15" s="11" t="n">
        <v>5469</v>
      </c>
    </row>
    <row r="16">
      <c r="A16" s="6" t="inlineStr">
        <is>
          <t>Hortalizas — TOTAL INGRESOS</t>
        </is>
      </c>
      <c r="B16" s="7" t="n">
        <v>216000000</v>
      </c>
      <c r="C16" s="7" t="n">
        <v>244944000</v>
      </c>
      <c r="D16" s="7" t="n">
        <v>277751507</v>
      </c>
      <c r="E16" s="7" t="n">
        <v>314967394</v>
      </c>
      <c r="F16" s="7" t="n">
        <v>357142107</v>
      </c>
    </row>
    <row r="17">
      <c r="A17" s="10" t="inlineStr"/>
    </row>
    <row r="18">
      <c r="A18" s="12" t="inlineStr">
        <is>
          <t>★  TOTAL VENTAS ANUALES</t>
        </is>
      </c>
      <c r="B18" s="13" t="n">
        <v>900000000</v>
      </c>
      <c r="C18" s="13" t="n">
        <v>1020600000</v>
      </c>
      <c r="D18" s="13" t="n">
        <v>1157274047</v>
      </c>
      <c r="E18" s="13" t="n">
        <v>1312384297</v>
      </c>
      <c r="F18" s="13" t="n">
        <v>1488228492</v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30" customHeight="1">
      <c r="A1" s="1" t="inlineStr">
        <is>
          <t>COSTOS DE FABRICACIÓN MENSUAL — REFERENCIA AÑO 1</t>
        </is>
      </c>
    </row>
    <row r="2">
      <c r="A2" s="3" t="inlineStr">
        <is>
          <t>CONCEPTO</t>
        </is>
      </c>
      <c r="B2" s="3" t="inlineStr">
        <is>
          <t>VALOR MENSUAL (COP)</t>
        </is>
      </c>
    </row>
    <row r="3">
      <c r="A3" s="6" t="inlineStr">
        <is>
          <t>COSTOS INDIRECTOS O FIJOS</t>
        </is>
      </c>
    </row>
    <row r="4">
      <c r="A4" s="8" t="inlineStr">
        <is>
          <t>Nómina total (10 personas)</t>
        </is>
      </c>
      <c r="B4" s="9" t="n">
        <v>22847175</v>
      </c>
    </row>
    <row r="5">
      <c r="A5" s="8" t="inlineStr">
        <is>
          <t>Distribución y logística base</t>
        </is>
      </c>
      <c r="B5" s="9" t="n">
        <v>10000000</v>
      </c>
    </row>
    <row r="6">
      <c r="A6" s="6" t="inlineStr">
        <is>
          <t>TOTAL COSTOS FIJOS</t>
        </is>
      </c>
      <c r="B6" s="7" t="n">
        <v>32847175</v>
      </c>
    </row>
    <row r="7">
      <c r="A7" s="10" t="inlineStr"/>
    </row>
    <row r="8">
      <c r="A8" s="6" t="inlineStr">
        <is>
          <t>COSTOS DIRECTOS O VARIABLES</t>
        </is>
      </c>
    </row>
    <row r="9">
      <c r="A9" s="8" t="inlineStr">
        <is>
          <t>Materia prima (estimado promedio mensual)</t>
        </is>
      </c>
      <c r="B9" s="9" t="n">
        <v>2170000</v>
      </c>
    </row>
    <row r="10">
      <c r="A10" s="8" t="inlineStr">
        <is>
          <t>Mano de obra indirecta / jornales</t>
        </is>
      </c>
      <c r="B10" s="9" t="n">
        <v>3500000</v>
      </c>
    </row>
    <row r="11">
      <c r="A11" s="8" t="inlineStr">
        <is>
          <t>Publicidad y marketing digital</t>
        </is>
      </c>
      <c r="B11" s="9" t="n">
        <v>1500000</v>
      </c>
    </row>
    <row r="12">
      <c r="A12" s="8" t="inlineStr">
        <is>
          <t>Servicios públicos (energía, agua, telecom)</t>
        </is>
      </c>
      <c r="B12" s="9" t="n">
        <v>5000000</v>
      </c>
    </row>
    <row r="13">
      <c r="A13" s="8" t="inlineStr">
        <is>
          <t>Etiquetas, empaques y materiales</t>
        </is>
      </c>
      <c r="B13" s="9" t="n">
        <v>800000</v>
      </c>
    </row>
    <row r="14">
      <c r="A14" s="6" t="inlineStr">
        <is>
          <t>TOTAL COSTOS VARIABLES</t>
        </is>
      </c>
      <c r="B14" s="7" t="n">
        <v>12970000</v>
      </c>
    </row>
    <row r="15">
      <c r="A15" s="10" t="inlineStr"/>
    </row>
    <row r="16">
      <c r="A16" s="12" t="inlineStr">
        <is>
          <t>★  TOTAL COSTOS MENSUALES</t>
        </is>
      </c>
      <c r="B16" s="13" t="n">
        <v>45817175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PLANTA DE PERSONAL — EVOLUCIÓN 2025–2029</t>
        </is>
      </c>
    </row>
    <row r="2">
      <c r="A2" s="3" t="inlineStr">
        <is>
          <t>ÁREA / CARGO</t>
        </is>
      </c>
      <c r="B2" s="3" t="inlineStr">
        <is>
          <t>2025</t>
        </is>
      </c>
      <c r="C2" s="3" t="inlineStr">
        <is>
          <t>2026</t>
        </is>
      </c>
      <c r="D2" s="3" t="inlineStr">
        <is>
          <t>2027</t>
        </is>
      </c>
      <c r="E2" s="3" t="inlineStr">
        <is>
          <t>2028</t>
        </is>
      </c>
      <c r="F2" s="3" t="inlineStr">
        <is>
          <t>2029</t>
        </is>
      </c>
    </row>
    <row r="3">
      <c r="A3" s="6" t="inlineStr">
        <is>
          <t>ÁREA ADMINISTRATIVA</t>
        </is>
      </c>
      <c r="B3" s="14" t="n">
        <v>2</v>
      </c>
      <c r="C3" s="14" t="n">
        <v>2</v>
      </c>
      <c r="D3" s="14" t="n">
        <v>3</v>
      </c>
      <c r="E3" s="14" t="n">
        <v>3</v>
      </c>
      <c r="F3" s="14" t="n">
        <v>4</v>
      </c>
    </row>
    <row r="4">
      <c r="A4" s="8" t="inlineStr">
        <is>
          <t xml:space="preserve">  Director Operativo</t>
        </is>
      </c>
      <c r="B4" s="15" t="n">
        <v>1</v>
      </c>
      <c r="C4" s="15" t="n">
        <v>1</v>
      </c>
      <c r="D4" s="15" t="n">
        <v>1</v>
      </c>
      <c r="E4" s="15" t="n">
        <v>1</v>
      </c>
      <c r="F4" s="15" t="n">
        <v>1</v>
      </c>
    </row>
    <row r="5">
      <c r="A5" s="8" t="inlineStr">
        <is>
          <t xml:space="preserve">  Coordinador de Bodega</t>
        </is>
      </c>
      <c r="B5" s="15" t="n">
        <v>1</v>
      </c>
      <c r="C5" s="15" t="n">
        <v>1</v>
      </c>
      <c r="D5" s="15" t="n">
        <v>1</v>
      </c>
      <c r="E5" s="15" t="n">
        <v>1</v>
      </c>
      <c r="F5" s="15" t="n">
        <v>1</v>
      </c>
    </row>
    <row r="6">
      <c r="A6" s="8" t="inlineStr">
        <is>
          <t xml:space="preserve">  Asistente Administrativo</t>
        </is>
      </c>
      <c r="B6" s="15" t="inlineStr">
        <is>
          <t>—</t>
        </is>
      </c>
      <c r="C6" s="15" t="inlineStr">
        <is>
          <t>—</t>
        </is>
      </c>
      <c r="D6" s="15" t="n">
        <v>1</v>
      </c>
      <c r="E6" s="15" t="n">
        <v>1</v>
      </c>
      <c r="F6" s="15" t="n">
        <v>2</v>
      </c>
    </row>
    <row r="7">
      <c r="A7" s="6" t="inlineStr">
        <is>
          <t>MERCADEO Y VENTAS</t>
        </is>
      </c>
      <c r="B7" s="14" t="n">
        <v>1</v>
      </c>
      <c r="C7" s="14" t="n">
        <v>2</v>
      </c>
      <c r="D7" s="14" t="n">
        <v>2</v>
      </c>
      <c r="E7" s="14" t="n">
        <v>3</v>
      </c>
      <c r="F7" s="14" t="n">
        <v>3</v>
      </c>
    </row>
    <row r="8">
      <c r="A8" s="8" t="inlineStr">
        <is>
          <t xml:space="preserve">  Asesor Comercial</t>
        </is>
      </c>
      <c r="B8" s="15" t="n">
        <v>1</v>
      </c>
      <c r="C8" s="15" t="n">
        <v>1</v>
      </c>
      <c r="D8" s="15" t="n">
        <v>2</v>
      </c>
      <c r="E8" s="15" t="n">
        <v>2</v>
      </c>
      <c r="F8" s="15" t="n">
        <v>2</v>
      </c>
    </row>
    <row r="9">
      <c r="A9" s="8" t="inlineStr">
        <is>
          <t xml:space="preserve">  Gestor Comunitario</t>
        </is>
      </c>
      <c r="B9" s="15" t="inlineStr">
        <is>
          <t>—</t>
        </is>
      </c>
      <c r="C9" s="15" t="n">
        <v>1</v>
      </c>
      <c r="D9" s="15" t="inlineStr">
        <is>
          <t>—</t>
        </is>
      </c>
      <c r="E9" s="15" t="n">
        <v>1</v>
      </c>
      <c r="F9" s="15" t="n">
        <v>1</v>
      </c>
    </row>
    <row r="10">
      <c r="A10" s="6" t="inlineStr">
        <is>
          <t>PRODUCCIÓN Y OPERACIONES</t>
        </is>
      </c>
      <c r="B10" s="14" t="n">
        <v>5</v>
      </c>
      <c r="C10" s="14" t="n">
        <v>6</v>
      </c>
      <c r="D10" s="14" t="n">
        <v>7</v>
      </c>
      <c r="E10" s="14" t="n">
        <v>8</v>
      </c>
      <c r="F10" s="14" t="n">
        <v>9</v>
      </c>
    </row>
    <row r="11">
      <c r="A11" s="8" t="inlineStr">
        <is>
          <t xml:space="preserve">  Operarios Clasificación</t>
        </is>
      </c>
      <c r="B11" s="15" t="n">
        <v>3</v>
      </c>
      <c r="C11" s="15" t="n">
        <v>3</v>
      </c>
      <c r="D11" s="15" t="n">
        <v>4</v>
      </c>
      <c r="E11" s="15" t="n">
        <v>4</v>
      </c>
      <c r="F11" s="15" t="n">
        <v>5</v>
      </c>
    </row>
    <row r="12">
      <c r="A12" s="8" t="inlineStr">
        <is>
          <t xml:space="preserve">  Conductores / Logística</t>
        </is>
      </c>
      <c r="B12" s="15" t="n">
        <v>2</v>
      </c>
      <c r="C12" s="15" t="n">
        <v>2</v>
      </c>
      <c r="D12" s="15" t="n">
        <v>2</v>
      </c>
      <c r="E12" s="15" t="n">
        <v>3</v>
      </c>
      <c r="F12" s="15" t="n">
        <v>3</v>
      </c>
    </row>
    <row r="13">
      <c r="A13" s="8" t="inlineStr">
        <is>
          <t xml:space="preserve">  Técnico Agropecuario</t>
        </is>
      </c>
      <c r="B13" s="15" t="inlineStr">
        <is>
          <t>—</t>
        </is>
      </c>
      <c r="C13" s="15" t="n">
        <v>1</v>
      </c>
      <c r="D13" s="15" t="n">
        <v>1</v>
      </c>
      <c r="E13" s="15" t="n">
        <v>1</v>
      </c>
      <c r="F13" s="15" t="n">
        <v>1</v>
      </c>
    </row>
    <row r="14">
      <c r="A14" s="6" t="inlineStr">
        <is>
          <t>ÁREAS TRANSVERSALES</t>
        </is>
      </c>
      <c r="B14" s="14" t="n">
        <v>2</v>
      </c>
      <c r="C14" s="14" t="n">
        <v>2</v>
      </c>
      <c r="D14" s="14" t="n">
        <v>2</v>
      </c>
      <c r="E14" s="14" t="n">
        <v>3</v>
      </c>
      <c r="F14" s="14" t="n">
        <v>3</v>
      </c>
    </row>
    <row r="15">
      <c r="A15" s="8" t="inlineStr">
        <is>
          <t xml:space="preserve">  Desarrollador / TI</t>
        </is>
      </c>
      <c r="B15" s="15" t="n">
        <v>1</v>
      </c>
      <c r="C15" s="15" t="n">
        <v>1</v>
      </c>
      <c r="D15" s="15" t="n">
        <v>1</v>
      </c>
      <c r="E15" s="15" t="n">
        <v>1</v>
      </c>
      <c r="F15" s="15" t="n">
        <v>1</v>
      </c>
    </row>
    <row r="16">
      <c r="A16" s="8" t="inlineStr">
        <is>
          <t xml:space="preserve">  Técnico Mantenimiento</t>
        </is>
      </c>
      <c r="B16" s="15" t="n">
        <v>1</v>
      </c>
      <c r="C16" s="15" t="n">
        <v>1</v>
      </c>
      <c r="D16" s="15" t="n">
        <v>1</v>
      </c>
      <c r="E16" s="15" t="n">
        <v>1</v>
      </c>
      <c r="F16" s="15" t="n">
        <v>1</v>
      </c>
    </row>
    <row r="17">
      <c r="A17" s="8" t="inlineStr">
        <is>
          <t xml:space="preserve">  Coordinador de Calidad</t>
        </is>
      </c>
      <c r="B17" s="15" t="inlineStr">
        <is>
          <t>—</t>
        </is>
      </c>
      <c r="C17" s="15" t="inlineStr">
        <is>
          <t>—</t>
        </is>
      </c>
      <c r="D17" s="15" t="inlineStr">
        <is>
          <t>—</t>
        </is>
      </c>
      <c r="E17" s="15" t="n">
        <v>1</v>
      </c>
      <c r="F17" s="15" t="n">
        <v>1</v>
      </c>
    </row>
    <row r="18">
      <c r="A18" s="12" t="inlineStr">
        <is>
          <t>★  TOTAL PERSONAL</t>
        </is>
      </c>
      <c r="B18" s="16" t="n">
        <v>10</v>
      </c>
      <c r="C18" s="16" t="n">
        <v>12</v>
      </c>
      <c r="D18" s="16" t="n">
        <v>14</v>
      </c>
      <c r="E18" s="16" t="n">
        <v>17</v>
      </c>
      <c r="F18" s="16" t="n">
        <v>19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INVERSIÓN TOTAL — FLORACAMPO 2025–2029 (COP)</t>
        </is>
      </c>
    </row>
    <row r="2">
      <c r="A2" s="3" t="inlineStr">
        <is>
          <t>CONCEPTO</t>
        </is>
      </c>
      <c r="B2" s="3" t="inlineStr">
        <is>
          <t>2025</t>
        </is>
      </c>
      <c r="C2" s="3" t="inlineStr">
        <is>
          <t>2026</t>
        </is>
      </c>
      <c r="D2" s="3" t="inlineStr">
        <is>
          <t>2027</t>
        </is>
      </c>
      <c r="E2" s="3" t="inlineStr">
        <is>
          <t>2028</t>
        </is>
      </c>
      <c r="F2" s="3" t="inlineStr">
        <is>
          <t>2029</t>
        </is>
      </c>
    </row>
    <row r="3">
      <c r="A3" s="2" t="inlineStr">
        <is>
          <t>ACTIVOS FIJOS</t>
        </is>
      </c>
    </row>
    <row r="4">
      <c r="A4" s="8" t="inlineStr">
        <is>
          <t>Infraestructura (bodega + adecuaciones)</t>
        </is>
      </c>
      <c r="B4" s="9" t="n">
        <v>120000000</v>
      </c>
      <c r="C4" s="9" t="inlineStr">
        <is>
          <t>—</t>
        </is>
      </c>
      <c r="D4" s="9" t="inlineStr">
        <is>
          <t>—</t>
        </is>
      </c>
      <c r="E4" s="9" t="inlineStr">
        <is>
          <t>—</t>
        </is>
      </c>
      <c r="F4" s="9" t="inlineStr">
        <is>
          <t>—</t>
        </is>
      </c>
    </row>
    <row r="5">
      <c r="A5" s="10" t="inlineStr">
        <is>
          <t>Equipos de frío y empaque</t>
        </is>
      </c>
      <c r="B5" s="11" t="n">
        <v>150000000</v>
      </c>
      <c r="C5" s="11" t="inlineStr">
        <is>
          <t>—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</row>
    <row r="6">
      <c r="A6" s="8" t="inlineStr">
        <is>
          <t>Camiones de carga (2 unidades)</t>
        </is>
      </c>
      <c r="B6" s="9" t="n">
        <v>130000000</v>
      </c>
      <c r="C6" s="9" t="inlineStr">
        <is>
          <t>—</t>
        </is>
      </c>
      <c r="D6" s="9" t="inlineStr">
        <is>
          <t>—</t>
        </is>
      </c>
      <c r="E6" s="9" t="inlineStr">
        <is>
          <t>—</t>
        </is>
      </c>
      <c r="F6" s="9" t="n">
        <v>65000000</v>
      </c>
    </row>
    <row r="7">
      <c r="A7" s="10" t="inlineStr">
        <is>
          <t>Equipos de cómputo y redes</t>
        </is>
      </c>
      <c r="B7" s="11" t="n">
        <v>16000000</v>
      </c>
      <c r="C7" s="11" t="n">
        <v>6000000</v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</row>
    <row r="8">
      <c r="A8" s="8" t="inlineStr">
        <is>
          <t>Muebles y enseres</t>
        </is>
      </c>
      <c r="B8" s="9" t="n">
        <v>12000000</v>
      </c>
      <c r="C8" s="9" t="inlineStr">
        <is>
          <t>—</t>
        </is>
      </c>
      <c r="D8" s="9" t="inlineStr">
        <is>
          <t>—</t>
        </is>
      </c>
      <c r="E8" s="9" t="n">
        <v>4000000</v>
      </c>
      <c r="F8" s="9" t="inlineStr">
        <is>
          <t>—</t>
        </is>
      </c>
    </row>
    <row r="9">
      <c r="A9" s="6" t="inlineStr">
        <is>
          <t>Subtotal Activos Fijos</t>
        </is>
      </c>
      <c r="B9" s="7" t="n">
        <v>428000000</v>
      </c>
      <c r="C9" s="7" t="n">
        <v>6000000</v>
      </c>
      <c r="D9" s="7" t="n">
        <v>0</v>
      </c>
      <c r="E9" s="7" t="n">
        <v>4000000</v>
      </c>
      <c r="F9" s="7" t="n">
        <v>65000000</v>
      </c>
    </row>
    <row r="10">
      <c r="A10" s="2" t="inlineStr">
        <is>
          <t>ACTIVOS DIFERIDOS</t>
        </is>
      </c>
    </row>
    <row r="11">
      <c r="A11" s="8" t="inlineStr">
        <is>
          <t>Software FLOR-Net (licencia y desarrollo)</t>
        </is>
      </c>
      <c r="B11" s="9" t="n">
        <v>30000000</v>
      </c>
      <c r="C11" s="9" t="n">
        <v>5000000</v>
      </c>
      <c r="D11" s="9" t="n">
        <v>3000000</v>
      </c>
      <c r="E11" s="9" t="n">
        <v>3000000</v>
      </c>
      <c r="F11" s="9" t="n">
        <v>3000000</v>
      </c>
    </row>
    <row r="12">
      <c r="A12" s="10" t="inlineStr">
        <is>
          <t>Constitución legal y permisos INVIMA</t>
        </is>
      </c>
      <c r="B12" s="11" t="n">
        <v>8500000</v>
      </c>
      <c r="C12" s="11" t="inlineStr">
        <is>
          <t>—</t>
        </is>
      </c>
      <c r="D12" s="11" t="inlineStr">
        <is>
          <t>—</t>
        </is>
      </c>
      <c r="E12" s="11" t="n">
        <v>2000000</v>
      </c>
      <c r="F12" s="11" t="inlineStr">
        <is>
          <t>—</t>
        </is>
      </c>
    </row>
    <row r="13">
      <c r="A13" s="6" t="inlineStr">
        <is>
          <t>Subtotal Activos Diferidos</t>
        </is>
      </c>
      <c r="B13" s="7" t="n">
        <v>38500000</v>
      </c>
      <c r="C13" s="7" t="n">
        <v>5000000</v>
      </c>
      <c r="D13" s="7" t="n">
        <v>3000000</v>
      </c>
      <c r="E13" s="7" t="n">
        <v>5000000</v>
      </c>
      <c r="F13" s="7" t="n">
        <v>3000000</v>
      </c>
    </row>
    <row r="14">
      <c r="A14" s="2" t="inlineStr">
        <is>
          <t>CAPITAL DE TRABAJO</t>
        </is>
      </c>
    </row>
    <row r="15">
      <c r="A15" s="8" t="inlineStr">
        <is>
          <t>Capital de trabajo inicial (3 meses op.)</t>
        </is>
      </c>
      <c r="B15" s="9" t="n">
        <v>68000000</v>
      </c>
      <c r="C15" s="9" t="inlineStr">
        <is>
          <t>—</t>
        </is>
      </c>
      <c r="D15" s="9" t="inlineStr">
        <is>
          <t>—</t>
        </is>
      </c>
      <c r="E15" s="9" t="inlineStr">
        <is>
          <t>—</t>
        </is>
      </c>
      <c r="F15" s="9" t="inlineStr">
        <is>
          <t>—</t>
        </is>
      </c>
    </row>
    <row r="16">
      <c r="A16" s="10" t="inlineStr">
        <is>
          <t>Caja menor y fondo de emergencia</t>
        </is>
      </c>
      <c r="B16" s="11" t="n">
        <v>15000000</v>
      </c>
      <c r="C16" s="11" t="n">
        <v>5000000</v>
      </c>
      <c r="D16" s="11" t="n">
        <v>5000000</v>
      </c>
      <c r="E16" s="11" t="n">
        <v>5000000</v>
      </c>
      <c r="F16" s="11" t="n">
        <v>5000000</v>
      </c>
    </row>
    <row r="17">
      <c r="A17" s="6" t="inlineStr">
        <is>
          <t>Subtotal Capital de Trabajo</t>
        </is>
      </c>
      <c r="B17" s="7" t="n">
        <v>83000000</v>
      </c>
      <c r="C17" s="7" t="n">
        <v>5000000</v>
      </c>
      <c r="D17" s="7" t="n">
        <v>5000000</v>
      </c>
      <c r="E17" s="7" t="n">
        <v>5000000</v>
      </c>
      <c r="F17" s="7" t="n">
        <v>5000000</v>
      </c>
    </row>
    <row r="18" ht="22" customHeight="1">
      <c r="A18" s="12" t="inlineStr">
        <is>
          <t>★  INVERSIÓN TOTAL</t>
        </is>
      </c>
      <c r="B18" s="13" t="n">
        <v>549500000</v>
      </c>
      <c r="C18" s="13" t="n">
        <v>16000000</v>
      </c>
      <c r="D18" s="13" t="n">
        <v>8000000</v>
      </c>
      <c r="E18" s="13" t="n">
        <v>14000000</v>
      </c>
      <c r="F18" s="13" t="n">
        <v>73000000</v>
      </c>
    </row>
  </sheetData>
  <mergeCells count="4">
    <mergeCell ref="A3:F3"/>
    <mergeCell ref="A14:F14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FLUJO DE EGRESOS ANUALES — FLORACAMPO 2025–2029 (COP)</t>
        </is>
      </c>
    </row>
    <row r="2">
      <c r="A2" s="3" t="inlineStr">
        <is>
          <t>CONCEPTO</t>
        </is>
      </c>
      <c r="B2" s="3" t="inlineStr">
        <is>
          <t>2025</t>
        </is>
      </c>
      <c r="C2" s="3" t="inlineStr">
        <is>
          <t>2026</t>
        </is>
      </c>
      <c r="D2" s="3" t="inlineStr">
        <is>
          <t>2027</t>
        </is>
      </c>
      <c r="E2" s="3" t="inlineStr">
        <is>
          <t>2028</t>
        </is>
      </c>
      <c r="F2" s="3" t="inlineStr">
        <is>
          <t>2029</t>
        </is>
      </c>
    </row>
    <row r="3">
      <c r="A3" s="2" t="inlineStr">
        <is>
          <t>1. NÓMINA Y RECURSO HUMANO</t>
        </is>
      </c>
    </row>
    <row r="4">
      <c r="A4" s="8" t="inlineStr">
        <is>
          <t>Nómina total (incluyendo prestaciones y s. social)</t>
        </is>
      </c>
      <c r="B4" s="9" t="n">
        <v>274166100</v>
      </c>
      <c r="C4" s="9" t="n">
        <v>290616066</v>
      </c>
      <c r="D4" s="9" t="n">
        <v>308053029</v>
      </c>
      <c r="E4" s="9" t="n">
        <v>326536211</v>
      </c>
      <c r="F4" s="9" t="n">
        <v>346128384</v>
      </c>
    </row>
    <row r="5">
      <c r="A5" s="6" t="inlineStr">
        <is>
          <t>Subtotal Nómina</t>
        </is>
      </c>
      <c r="B5" s="7" t="n">
        <v>274166100</v>
      </c>
      <c r="C5" s="7" t="n">
        <v>290616066</v>
      </c>
      <c r="D5" s="7" t="n">
        <v>308053029</v>
      </c>
      <c r="E5" s="7" t="n">
        <v>326536211</v>
      </c>
      <c r="F5" s="7" t="n">
        <v>346128384</v>
      </c>
    </row>
    <row r="6">
      <c r="A6" s="2" t="inlineStr">
        <is>
          <t>2. COSTOS DE PRODUCCIÓN Y LOGÍSTICA</t>
        </is>
      </c>
    </row>
    <row r="7">
      <c r="A7" s="8" t="inlineStr">
        <is>
          <t>Materia prima e insumos (28 % de ventas)</t>
        </is>
      </c>
      <c r="B7" s="9" t="n">
        <v>252000000</v>
      </c>
      <c r="C7" s="9" t="n">
        <v>285768000</v>
      </c>
      <c r="D7" s="9" t="n">
        <v>324036733</v>
      </c>
      <c r="E7" s="9" t="n">
        <v>367467603</v>
      </c>
      <c r="F7" s="9" t="n">
        <v>416703977</v>
      </c>
    </row>
    <row r="8">
      <c r="A8" s="10" t="inlineStr">
        <is>
          <t>Combustible y fletes</t>
        </is>
      </c>
      <c r="B8" s="11" t="n">
        <v>120000000</v>
      </c>
      <c r="C8" s="11" t="n">
        <v>127200000</v>
      </c>
      <c r="D8" s="11" t="n">
        <v>134832000</v>
      </c>
      <c r="E8" s="11" t="n">
        <v>142921920</v>
      </c>
      <c r="F8" s="11" t="n">
        <v>151497235</v>
      </c>
    </row>
    <row r="9">
      <c r="A9" s="8" t="inlineStr">
        <is>
          <t>Energía eléctrica y mantenimiento equipos</t>
        </is>
      </c>
      <c r="B9" s="9" t="n">
        <v>60000000</v>
      </c>
      <c r="C9" s="9" t="n">
        <v>63600000</v>
      </c>
      <c r="D9" s="9" t="n">
        <v>67416000</v>
      </c>
      <c r="E9" s="9" t="n">
        <v>71460960</v>
      </c>
      <c r="F9" s="9" t="n">
        <v>75748617</v>
      </c>
    </row>
    <row r="10">
      <c r="A10" s="10" t="inlineStr">
        <is>
          <t>Seguros (carga, vehículos, infraestructura)</t>
        </is>
      </c>
      <c r="B10" s="11" t="n">
        <v>30000000</v>
      </c>
      <c r="C10" s="11" t="n">
        <v>31500000</v>
      </c>
      <c r="D10" s="11" t="n">
        <v>33075000</v>
      </c>
      <c r="E10" s="11" t="n">
        <v>34728750</v>
      </c>
      <c r="F10" s="11" t="n">
        <v>36465187</v>
      </c>
    </row>
    <row r="11">
      <c r="A11" s="6" t="inlineStr">
        <is>
          <t>Subtotal Producción y Logística</t>
        </is>
      </c>
      <c r="B11" s="7" t="n">
        <v>462000000</v>
      </c>
      <c r="C11" s="7" t="n">
        <v>508068000</v>
      </c>
      <c r="D11" s="7" t="n">
        <v>559359733</v>
      </c>
      <c r="E11" s="7" t="n">
        <v>616579233</v>
      </c>
      <c r="F11" s="7" t="n">
        <v>680415016</v>
      </c>
    </row>
    <row r="12">
      <c r="A12" s="2" t="inlineStr">
        <is>
          <t>3. COSTOS DE COMERCIALIZACIÓN Y VENTAS</t>
        </is>
      </c>
    </row>
    <row r="13">
      <c r="A13" s="8" t="inlineStr">
        <is>
          <t>Publicidad y marketing digital</t>
        </is>
      </c>
      <c r="B13" s="9" t="n">
        <v>18000000</v>
      </c>
      <c r="C13" s="9" t="n">
        <v>18900000</v>
      </c>
      <c r="D13" s="9" t="n">
        <v>19845000</v>
      </c>
      <c r="E13" s="9" t="n">
        <v>20837250</v>
      </c>
      <c r="F13" s="9" t="n">
        <v>21879112</v>
      </c>
    </row>
    <row r="14">
      <c r="A14" s="10" t="inlineStr">
        <is>
          <t>Empaques sostenibles</t>
        </is>
      </c>
      <c r="B14" s="11" t="n">
        <v>9600000</v>
      </c>
      <c r="C14" s="11" t="n">
        <v>10080000</v>
      </c>
      <c r="D14" s="11" t="n">
        <v>10584000</v>
      </c>
      <c r="E14" s="11" t="n">
        <v>11113200</v>
      </c>
      <c r="F14" s="11" t="n">
        <v>11668860</v>
      </c>
    </row>
    <row r="15">
      <c r="A15" s="8" t="inlineStr">
        <is>
          <t>Distribución y entregas</t>
        </is>
      </c>
      <c r="B15" s="9" t="n">
        <v>12000000</v>
      </c>
      <c r="C15" s="9" t="n">
        <v>12600000</v>
      </c>
      <c r="D15" s="9" t="n">
        <v>13230000</v>
      </c>
      <c r="E15" s="9" t="n">
        <v>13891500</v>
      </c>
      <c r="F15" s="9" t="n">
        <v>14586075</v>
      </c>
    </row>
    <row r="16">
      <c r="A16" s="6" t="inlineStr">
        <is>
          <t>Subtotal Comercialización y Ventas</t>
        </is>
      </c>
      <c r="B16" s="7" t="n">
        <v>39600000</v>
      </c>
      <c r="C16" s="7" t="n">
        <v>41580000</v>
      </c>
      <c r="D16" s="7" t="n">
        <v>43659000</v>
      </c>
      <c r="E16" s="7" t="n">
        <v>45841950</v>
      </c>
      <c r="F16" s="7" t="n">
        <v>48134047</v>
      </c>
    </row>
    <row r="17" ht="22" customHeight="1">
      <c r="A17" s="12" t="inlineStr">
        <is>
          <t>★  TOTAL EGRESOS ANUALES</t>
        </is>
      </c>
      <c r="B17" s="13" t="n">
        <v>775766100</v>
      </c>
      <c r="C17" s="13" t="n">
        <v>840264066</v>
      </c>
      <c r="D17" s="13" t="n">
        <v>911071762</v>
      </c>
      <c r="E17" s="13" t="n">
        <v>988957394</v>
      </c>
      <c r="F17" s="13" t="n">
        <v>1074677447</v>
      </c>
    </row>
  </sheetData>
  <mergeCells count="4">
    <mergeCell ref="A3:F3"/>
    <mergeCell ref="A6:F6"/>
    <mergeCell ref="A1:F1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FLUJO DE INGRESOS ANUALES — FLORACAMPO 2025–2029 (COP)</t>
        </is>
      </c>
    </row>
    <row r="2">
      <c r="A2" s="3" t="inlineStr">
        <is>
          <t>CONCEPTO</t>
        </is>
      </c>
      <c r="B2" s="3" t="inlineStr">
        <is>
          <t>2025</t>
        </is>
      </c>
      <c r="C2" s="3" t="inlineStr">
        <is>
          <t>2026</t>
        </is>
      </c>
      <c r="D2" s="3" t="inlineStr">
        <is>
          <t>2027</t>
        </is>
      </c>
      <c r="E2" s="3" t="inlineStr">
        <is>
          <t>2028</t>
        </is>
      </c>
      <c r="F2" s="3" t="inlineStr">
        <is>
          <t>2029</t>
        </is>
      </c>
    </row>
    <row r="3">
      <c r="A3" s="2" t="inlineStr">
        <is>
          <t>PRODUCTO 1 — Frutas Amazónicas (Copoazú, Arazá, Sacha Inchi)</t>
        </is>
      </c>
    </row>
    <row r="4">
      <c r="A4" s="8" t="inlineStr">
        <is>
          <t>Unidades vendidas (kg/año)</t>
        </is>
      </c>
      <c r="B4" s="9" t="n">
        <v>72000</v>
      </c>
      <c r="C4" s="9" t="n">
        <v>77760</v>
      </c>
      <c r="D4" s="9" t="n">
        <v>83980</v>
      </c>
      <c r="E4" s="9" t="n">
        <v>90699</v>
      </c>
      <c r="F4" s="9" t="n">
        <v>97955</v>
      </c>
    </row>
    <row r="5">
      <c r="A5" s="10" t="inlineStr">
        <is>
          <t>Precio unitario (COP/kg)</t>
        </is>
      </c>
      <c r="B5" s="11" t="n">
        <v>9500</v>
      </c>
      <c r="C5" s="11" t="n">
        <v>9975</v>
      </c>
      <c r="D5" s="11" t="n">
        <v>10473</v>
      </c>
      <c r="E5" s="11" t="n">
        <v>10997</v>
      </c>
      <c r="F5" s="11" t="n">
        <v>11547</v>
      </c>
    </row>
    <row r="6">
      <c r="A6" s="6" t="inlineStr">
        <is>
          <t>TOTAL INGRESOS Producto 1</t>
        </is>
      </c>
      <c r="B6" s="7" t="n">
        <v>684000000</v>
      </c>
      <c r="C6" s="7" t="n">
        <v>775656000</v>
      </c>
      <c r="D6" s="7" t="n">
        <v>879522540</v>
      </c>
      <c r="E6" s="7" t="n">
        <v>997416903</v>
      </c>
      <c r="F6" s="7" t="n">
        <v>1131086385</v>
      </c>
    </row>
    <row r="7">
      <c r="A7" s="2" t="inlineStr">
        <is>
          <t>PRODUCTO 2 — Hortalizas de Segunda Transformación (Picado/Empaque)</t>
        </is>
      </c>
    </row>
    <row r="8">
      <c r="A8" s="8" t="inlineStr">
        <is>
          <t>Unidades vendidas (kg/año)</t>
        </is>
      </c>
      <c r="B8" s="9" t="n">
        <v>48000</v>
      </c>
      <c r="C8" s="9" t="n">
        <v>51840</v>
      </c>
      <c r="D8" s="9" t="n">
        <v>55987</v>
      </c>
      <c r="E8" s="9" t="n">
        <v>60466</v>
      </c>
      <c r="F8" s="9" t="n">
        <v>65303</v>
      </c>
    </row>
    <row r="9">
      <c r="A9" s="10" t="inlineStr">
        <is>
          <t>Precio unitario (COP/kg)</t>
        </is>
      </c>
      <c r="B9" s="11" t="n">
        <v>4500</v>
      </c>
      <c r="C9" s="11" t="n">
        <v>4725</v>
      </c>
      <c r="D9" s="11" t="n">
        <v>4961</v>
      </c>
      <c r="E9" s="11" t="n">
        <v>5209</v>
      </c>
      <c r="F9" s="11" t="n">
        <v>5469</v>
      </c>
    </row>
    <row r="10">
      <c r="A10" s="6" t="inlineStr">
        <is>
          <t>TOTAL INGRESOS Producto 2</t>
        </is>
      </c>
      <c r="B10" s="7" t="n">
        <v>216000000</v>
      </c>
      <c r="C10" s="7" t="n">
        <v>244944000</v>
      </c>
      <c r="D10" s="7" t="n">
        <v>277751507</v>
      </c>
      <c r="E10" s="7" t="n">
        <v>314967394</v>
      </c>
      <c r="F10" s="7" t="n">
        <v>357142107</v>
      </c>
    </row>
    <row r="11" ht="22" customHeight="1">
      <c r="A11" s="12" t="inlineStr">
        <is>
          <t>★  TOTAL INGRESOS ANUALES</t>
        </is>
      </c>
      <c r="B11" s="13" t="n">
        <v>900000000</v>
      </c>
      <c r="C11" s="13" t="n">
        <v>1020600000</v>
      </c>
      <c r="D11" s="13" t="n">
        <v>1157274047</v>
      </c>
      <c r="E11" s="13" t="n">
        <v>1312384297</v>
      </c>
      <c r="F11" s="13" t="n">
        <v>1488228492</v>
      </c>
    </row>
    <row r="12">
      <c r="A12" s="17" t="inlineStr">
        <is>
          <t>Supuestos: Crecimiento unidades 8 %/año | Incremento precio 5 %/año (IPC proyectado)</t>
        </is>
      </c>
    </row>
  </sheetData>
  <mergeCells count="4">
    <mergeCell ref="A3:F3"/>
    <mergeCell ref="A1:F1"/>
    <mergeCell ref="A7:F7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ESTADO DE RESULTADOS PROYECTADO — FLORACAMPO 2025–2029 (COP)</t>
        </is>
      </c>
    </row>
    <row r="2">
      <c r="A2" s="3" t="inlineStr">
        <is>
          <t>CONCEPTO</t>
        </is>
      </c>
      <c r="B2" s="3" t="inlineStr">
        <is>
          <t>2025</t>
        </is>
      </c>
      <c r="C2" s="3" t="inlineStr">
        <is>
          <t>2026</t>
        </is>
      </c>
      <c r="D2" s="3" t="inlineStr">
        <is>
          <t>2027</t>
        </is>
      </c>
      <c r="E2" s="3" t="inlineStr">
        <is>
          <t>2028</t>
        </is>
      </c>
      <c r="F2" s="3" t="inlineStr">
        <is>
          <t>2029</t>
        </is>
      </c>
    </row>
    <row r="3">
      <c r="A3" s="18" t="inlineStr">
        <is>
          <t>TOTAL VENTAS O INGRESOS</t>
        </is>
      </c>
      <c r="B3" s="19" t="n">
        <v>900000000</v>
      </c>
      <c r="C3" s="19" t="n">
        <v>1020600000</v>
      </c>
      <c r="D3" s="19" t="n">
        <v>1157274047</v>
      </c>
      <c r="E3" s="19" t="n">
        <v>1312384297</v>
      </c>
      <c r="F3" s="19" t="n">
        <v>1488228492</v>
      </c>
    </row>
    <row r="4">
      <c r="A4" s="8" t="inlineStr">
        <is>
          <t>(-) Costos de producción y logística</t>
        </is>
      </c>
      <c r="B4" s="20" t="n">
        <v>-462000000</v>
      </c>
      <c r="C4" s="20" t="n">
        <v>-508068000</v>
      </c>
      <c r="D4" s="20" t="n">
        <v>-559359733</v>
      </c>
      <c r="E4" s="20" t="n">
        <v>-616579233</v>
      </c>
      <c r="F4" s="20" t="n">
        <v>-680415016</v>
      </c>
    </row>
    <row r="5">
      <c r="A5" s="10" t="inlineStr">
        <is>
          <t>(-) Costos comercialización y ventas</t>
        </is>
      </c>
      <c r="B5" s="21" t="n">
        <v>-39600000</v>
      </c>
      <c r="C5" s="21" t="n">
        <v>-41580000</v>
      </c>
      <c r="D5" s="21" t="n">
        <v>-43659000</v>
      </c>
      <c r="E5" s="21" t="n">
        <v>-45841950</v>
      </c>
      <c r="F5" s="21" t="n">
        <v>-48134047</v>
      </c>
    </row>
    <row r="6">
      <c r="A6" s="4" t="inlineStr">
        <is>
          <t>COSTOS DIRECTOS TOTALES</t>
        </is>
      </c>
      <c r="B6" s="22" t="n">
        <v>-501600000</v>
      </c>
      <c r="C6" s="22" t="n">
        <v>-549648000</v>
      </c>
      <c r="D6" s="22" t="n">
        <v>-603018733</v>
      </c>
      <c r="E6" s="22" t="n">
        <v>-662421183</v>
      </c>
      <c r="F6" s="22" t="n">
        <v>-728549063</v>
      </c>
    </row>
    <row r="7">
      <c r="A7" s="18">
        <f> MARGEN BRUTO DE VENTAS</f>
        <v/>
      </c>
      <c r="B7" s="19" t="n">
        <v>398400000</v>
      </c>
      <c r="C7" s="19" t="n">
        <v>470952000</v>
      </c>
      <c r="D7" s="19" t="n">
        <v>554255314</v>
      </c>
      <c r="E7" s="19" t="n">
        <v>649963114</v>
      </c>
      <c r="F7" s="19" t="n">
        <v>759679429</v>
      </c>
    </row>
    <row r="8">
      <c r="A8" s="8" t="inlineStr">
        <is>
          <t>(-) Gastos de administración (Nómina)</t>
        </is>
      </c>
      <c r="B8" s="20" t="n">
        <v>-274166100</v>
      </c>
      <c r="C8" s="20" t="n">
        <v>-290616066</v>
      </c>
      <c r="D8" s="20" t="n">
        <v>-308053029</v>
      </c>
      <c r="E8" s="20" t="n">
        <v>-326536211</v>
      </c>
      <c r="F8" s="20" t="n">
        <v>-346128384</v>
      </c>
    </row>
    <row r="9">
      <c r="A9" s="4">
        <f> UTILIDAD OPERACIONAL (UAII)</f>
        <v/>
      </c>
      <c r="B9" s="22" t="n">
        <v>124233900</v>
      </c>
      <c r="C9" s="22" t="n">
        <v>180335934</v>
      </c>
      <c r="D9" s="22" t="n">
        <v>246202285</v>
      </c>
      <c r="E9" s="22" t="n">
        <v>323426903</v>
      </c>
      <c r="F9" s="22" t="n">
        <v>413551045</v>
      </c>
    </row>
    <row r="10">
      <c r="A10" s="10" t="inlineStr">
        <is>
          <t>(-) Impuesto de renta (0 % años 1–2; 20 % año 3+)</t>
        </is>
      </c>
      <c r="B10" s="21" t="n">
        <v>0</v>
      </c>
      <c r="C10" s="21" t="n">
        <v>0</v>
      </c>
      <c r="D10" s="21" t="n">
        <v>-49240457</v>
      </c>
      <c r="E10" s="21" t="n">
        <v>-64685380</v>
      </c>
      <c r="F10" s="21" t="n">
        <v>-82710209</v>
      </c>
    </row>
    <row r="11">
      <c r="A11" s="12" t="inlineStr">
        <is>
          <t>★  UTILIDAD NETA</t>
        </is>
      </c>
      <c r="B11" s="23" t="n">
        <v>124233900</v>
      </c>
      <c r="C11" s="23" t="n">
        <v>180335934</v>
      </c>
      <c r="D11" s="23" t="n">
        <v>196961828</v>
      </c>
      <c r="E11" s="23" t="n">
        <v>258741523</v>
      </c>
      <c r="F11" s="23" t="n">
        <v>330840836</v>
      </c>
    </row>
    <row r="12">
      <c r="A12" s="8" t="inlineStr">
        <is>
          <t>% Margen Bruto sobre Ventas</t>
        </is>
      </c>
      <c r="B12" s="24" t="n">
        <v>0.4426666666666667</v>
      </c>
      <c r="C12" s="24" t="n">
        <v>0.4614462081128748</v>
      </c>
      <c r="D12" s="24" t="n">
        <v>0.4789317754397027</v>
      </c>
      <c r="E12" s="24" t="n">
        <v>0.4952536505395264</v>
      </c>
      <c r="F12" s="24" t="n">
        <v>0.5104588664198212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2026-04-14T23:42:46Z</dcterms:created>
  <dcterms:modified xmlns:dcterms="http://purl.org/dc/terms/" xmlns:xsi="http://www.w3.org/2001/XMLSchema-instance" xsi:type="dcterms:W3CDTF">2026-04-14T23:42:46Z</dcterms:modified>
</cp:coreProperties>
</file>